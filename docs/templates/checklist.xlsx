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G:\Customer Service and IT\IT Dept\Projects &amp; Systems\標準ドキュメント\20_開発プロセスゲート\SD課\"/>
    </mc:Choice>
  </mc:AlternateContent>
  <xr:revisionPtr revIDLastSave="0" documentId="13_ncr:1_{74F416EF-FE86-4A60-B24E-35559D290ED6}" xr6:coauthVersionLast="47" xr6:coauthVersionMax="47" xr10:uidLastSave="{00000000-0000-0000-0000-000000000000}"/>
  <bookViews>
    <workbookView xWindow="-110" yWindow="-110" windowWidth="19420" windowHeight="11500" xr2:uid="{BEB3A456-D064-44C5-8E6C-12D065BF63A5}"/>
  </bookViews>
  <sheets>
    <sheet name="表紙" sheetId="2" r:id="rId1"/>
    <sheet name="改版履歴" sheetId="3" r:id="rId2"/>
    <sheet name="定義・役割" sheetId="8" r:id="rId3"/>
    <sheet name="チェックシート" sheetId="7" r:id="rId4"/>
  </sheets>
  <definedNames>
    <definedName name="_xlnm._FilterDatabase" localSheetId="3" hidden="1">チェックシート!$A$5:$M$302</definedName>
    <definedName name="_xlnm.Print_Area" localSheetId="3">チェックシート!$A$1:$N$302</definedName>
    <definedName name="_xlnm.Print_Area" localSheetId="1">改版履歴!$A$1:$AJ$60</definedName>
    <definedName name="_xlnm.Print_Area" localSheetId="0">表紙!$A$1:$AJ$55</definedName>
    <definedName name="_xlnm.Print_Titles" localSheetId="3">チェックシート!$1:$5</definedName>
    <definedName name="_xlnm.Print_Titles" localSheetId="1">改版履歴!$1:$5</definedName>
    <definedName name="_xlnm.Print_Titles" localSheetId="0">表紙!$1:$5</definedName>
    <definedName name="Z_3E0D8729_95BD_4CCE_9BFA_F06C36FB5291_.wvu.FilterData" localSheetId="3" hidden="1">チェックシート!$B$5:$M$5</definedName>
    <definedName name="Z_3E0D8729_95BD_4CCE_9BFA_F06C36FB5291_.wvu.PrintArea" localSheetId="3" hidden="1">チェックシート!$A$1:$M$13</definedName>
    <definedName name="Z_3E0D8729_95BD_4CCE_9BFA_F06C36FB5291_.wvu.PrintTitles" localSheetId="3" hidden="1">チェックシート!$1:$5</definedName>
    <definedName name="Z_6B26BF1A_453B_4500_BB83_9180A963DBDF_.wvu.FilterData" localSheetId="3" hidden="1">チェックシート!$B$5:$M$5</definedName>
    <definedName name="Z_6B26BF1A_453B_4500_BB83_9180A963DBDF_.wvu.PrintArea" localSheetId="3" hidden="1">チェックシート!$A$1:$M$13</definedName>
    <definedName name="Z_6B26BF1A_453B_4500_BB83_9180A963DBDF_.wvu.PrintTitles" localSheetId="3" hidden="1">チェックシート!$1:$5</definedName>
    <definedName name="Z_6B9EDB7A_2823_4EA7_8C3F_21092AE1BCF7_.wvu.FilterData" localSheetId="3" hidden="1">チェックシート!$B$5:$M$5</definedName>
    <definedName name="Z_6B9EDB7A_2823_4EA7_8C3F_21092AE1BCF7_.wvu.PrintArea" localSheetId="3" hidden="1">チェックシート!$A$1:$M$13</definedName>
    <definedName name="Z_6B9EDB7A_2823_4EA7_8C3F_21092AE1BCF7_.wvu.PrintTitles" localSheetId="3" hidden="1">チェックシート!$1:$5</definedName>
    <definedName name="Z_762C0238_E2D7_4AC1_8285_A546D832C279_.wvu.FilterData" localSheetId="3" hidden="1">チェックシート!$B$5:$M$5</definedName>
    <definedName name="Z_762C0238_E2D7_4AC1_8285_A546D832C279_.wvu.PrintArea" localSheetId="3" hidden="1">チェックシート!$A$1:$M$13</definedName>
    <definedName name="Z_762C0238_E2D7_4AC1_8285_A546D832C279_.wvu.PrintTitles" localSheetId="3" hidden="1">チェックシート!$1:$5</definedName>
    <definedName name="Z_B8F215CF_35C2_468B_94EB_D73E429E8306_.wvu.Cols" localSheetId="3" hidden="1">チェックシート!#REF!</definedName>
    <definedName name="Z_B8F215CF_35C2_468B_94EB_D73E429E8306_.wvu.FilterData" localSheetId="3" hidden="1">チェックシート!$A$5:$M$302</definedName>
    <definedName name="Z_B8F215CF_35C2_468B_94EB_D73E429E8306_.wvu.PrintTitles" localSheetId="3" hidden="1">チェックシート!$1:$5</definedName>
    <definedName name="Z_C40CF618_6D81_43DF_A964_38DBB2AA3D90_.wvu.Cols" localSheetId="3" hidden="1">チェックシート!#REF!</definedName>
    <definedName name="Z_C40CF618_6D81_43DF_A964_38DBB2AA3D90_.wvu.FilterData" localSheetId="3" hidden="1">チェックシート!$A$5:$M$302</definedName>
    <definedName name="Z_C40CF618_6D81_43DF_A964_38DBB2AA3D90_.wvu.PrintTitles" localSheetId="3" hidden="1">チェックシート!$1:$5</definedName>
    <definedName name="Z_FF7F34D2_46DA_4DBA_9BFF_F32676E594B0_.wvu.FilterData" localSheetId="3" hidden="1">チェックシート!$B$5:$M$5</definedName>
    <definedName name="Z_FF7F34D2_46DA_4DBA_9BFF_F32676E594B0_.wvu.PrintArea" localSheetId="3" hidden="1">チェックシート!$A$1:$M$13</definedName>
    <definedName name="Z_FF7F34D2_46DA_4DBA_9BFF_F32676E594B0_.wvu.PrintTitles" localSheetId="3" hidden="1">チェックシート!$1:$5</definedName>
    <definedName name="インデックス行サイズ">#REF!</definedName>
    <definedName name="行サイズ">#REF!</definedName>
  </definedNames>
  <calcPr calcId="191029"/>
  <customWorkbookViews>
    <customWorkbookView name="ktakahasi - 個人用ビュー" guid="{762C0238-E2D7-4AC1-8285-A546D832C279}" mergeInterval="0" personalView="1" maximized="1" xWindow="-8" yWindow="-8" windowWidth="1936" windowHeight="1056" activeSheetId="1"/>
    <customWorkbookView name="shasiyada - 個人用ビュー" guid="{3E0D8729-95BD-4CCE-9BFA-F06C36FB5291}" mergeInterval="0" personalView="1" maximized="1" xWindow="-8" yWindow="-8" windowWidth="1936" windowHeight="1056" activeSheetId="1"/>
    <customWorkbookView name="tiwamori - 個人用ビュー" guid="{6B9EDB7A-2823-4EA7-8C3F-21092AE1BCF7}" mergeInterval="0" personalView="1" maximized="1" xWindow="-8" yWindow="-8" windowWidth="1936" windowHeight="1176" activeSheetId="1"/>
    <customWorkbookView name="shagiya - 個人用ビュー" guid="{6B26BF1A-453B-4500-BB83-9180A963DBDF}" mergeInterval="0" personalView="1" maximized="1" xWindow="-8" yWindow="-8" windowWidth="1936" windowHeight="1066" activeSheetId="1"/>
    <customWorkbookView name="mnakamura - 個人用ビュー" guid="{FF7F34D2-46DA-4DBA-9BFF-F32676E594B0}" mergeInterval="0" personalView="1" maximized="1" xWindow="1912" yWindow="-8"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7" l="1"/>
  <c r="D26" i="7"/>
  <c r="C25" i="7"/>
  <c r="C26" i="7" s="1"/>
  <c r="D297" i="7"/>
  <c r="D298" i="7" s="1"/>
  <c r="D299" i="7" s="1"/>
  <c r="D300" i="7" s="1"/>
  <c r="D301" i="7" s="1"/>
  <c r="C297" i="7"/>
  <c r="C298" i="7" s="1"/>
  <c r="C299" i="7" s="1"/>
  <c r="C300" i="7" s="1"/>
  <c r="C301" i="7" s="1"/>
  <c r="E294" i="7"/>
  <c r="E295" i="7" s="1"/>
  <c r="E291" i="7"/>
  <c r="E292" i="7" s="1"/>
  <c r="E289" i="7"/>
  <c r="E283" i="7"/>
  <c r="E280" i="7"/>
  <c r="E281" i="7" s="1"/>
  <c r="E272" i="7"/>
  <c r="E273" i="7" s="1"/>
  <c r="E274" i="7" s="1"/>
  <c r="E275" i="7" s="1"/>
  <c r="E276" i="7" s="1"/>
  <c r="E265" i="7"/>
  <c r="E266" i="7" s="1"/>
  <c r="E261" i="7"/>
  <c r="E262" i="7" s="1"/>
  <c r="E263" i="7" s="1"/>
  <c r="D255" i="7"/>
  <c r="D256" i="7" s="1"/>
  <c r="D257" i="7" s="1"/>
  <c r="D258" i="7" s="1"/>
  <c r="D259" i="7" s="1"/>
  <c r="D260" i="7" s="1"/>
  <c r="D261" i="7" s="1"/>
  <c r="D262" i="7" s="1"/>
  <c r="D263" i="7" s="1"/>
  <c r="D264" i="7" s="1"/>
  <c r="D265" i="7" s="1"/>
  <c r="D266" i="7" s="1"/>
  <c r="D267" i="7" s="1"/>
  <c r="D268" i="7" s="1"/>
  <c r="D269" i="7" s="1"/>
  <c r="D270" i="7" s="1"/>
  <c r="D271" i="7" s="1"/>
  <c r="D272" i="7" s="1"/>
  <c r="D273" i="7" s="1"/>
  <c r="D274" i="7" s="1"/>
  <c r="D275" i="7" s="1"/>
  <c r="D276" i="7" s="1"/>
  <c r="D277" i="7" s="1"/>
  <c r="D278" i="7" s="1"/>
  <c r="D279" i="7" s="1"/>
  <c r="D280" i="7" s="1"/>
  <c r="D281" i="7" s="1"/>
  <c r="D282" i="7" s="1"/>
  <c r="D283" i="7" s="1"/>
  <c r="D284" i="7" s="1"/>
  <c r="D285" i="7" s="1"/>
  <c r="D286" i="7" s="1"/>
  <c r="D287" i="7" s="1"/>
  <c r="D288" i="7" s="1"/>
  <c r="D289" i="7" s="1"/>
  <c r="D290" i="7" s="1"/>
  <c r="D291" i="7" s="1"/>
  <c r="D292" i="7" s="1"/>
  <c r="D293" i="7" s="1"/>
  <c r="D294" i="7" s="1"/>
  <c r="D295" i="7" s="1"/>
  <c r="E247" i="7"/>
  <c r="E248" i="7" s="1"/>
  <c r="E244" i="7"/>
  <c r="E245" i="7" s="1"/>
  <c r="E243" i="7"/>
  <c r="E236" i="7"/>
  <c r="E237" i="7" s="1"/>
  <c r="E238" i="7" s="1"/>
  <c r="E239" i="7" s="1"/>
  <c r="D236" i="7"/>
  <c r="D237" i="7" s="1"/>
  <c r="D238" i="7" s="1"/>
  <c r="D239" i="7" s="1"/>
  <c r="D240" i="7" s="1"/>
  <c r="D241" i="7" s="1"/>
  <c r="D242" i="7" s="1"/>
  <c r="D243" i="7" s="1"/>
  <c r="D244" i="7" s="1"/>
  <c r="D245" i="7" s="1"/>
  <c r="D246" i="7" s="1"/>
  <c r="D247" i="7" s="1"/>
  <c r="D248" i="7" s="1"/>
  <c r="D249" i="7" s="1"/>
  <c r="D250" i="7" s="1"/>
  <c r="D251" i="7" s="1"/>
  <c r="D252" i="7" s="1"/>
  <c r="C236" i="7"/>
  <c r="C237" i="7" s="1"/>
  <c r="C238" i="7" s="1"/>
  <c r="C239" i="7" s="1"/>
  <c r="C240" i="7" s="1"/>
  <c r="C241" i="7" s="1"/>
  <c r="C242" i="7" s="1"/>
  <c r="C243" i="7" s="1"/>
  <c r="C244" i="7" s="1"/>
  <c r="C245" i="7" s="1"/>
  <c r="C246" i="7" s="1"/>
  <c r="C247" i="7" s="1"/>
  <c r="C248" i="7" s="1"/>
  <c r="C249" i="7" s="1"/>
  <c r="C250" i="7" s="1"/>
  <c r="C251" i="7" s="1"/>
  <c r="C252" i="7" s="1"/>
  <c r="C253" i="7" s="1"/>
  <c r="E226" i="7"/>
  <c r="E227" i="7" s="1"/>
  <c r="E228" i="7" s="1"/>
  <c r="E229" i="7" s="1"/>
  <c r="E230" i="7" s="1"/>
  <c r="E231" i="7" s="1"/>
  <c r="E232" i="7" s="1"/>
  <c r="E233" i="7" s="1"/>
  <c r="E234" i="7" s="1"/>
  <c r="D226" i="7"/>
  <c r="D227" i="7" s="1"/>
  <c r="D228" i="7" s="1"/>
  <c r="D229" i="7" s="1"/>
  <c r="D230" i="7" s="1"/>
  <c r="D231" i="7" s="1"/>
  <c r="D232" i="7" s="1"/>
  <c r="D233" i="7" s="1"/>
  <c r="D234" i="7" s="1"/>
  <c r="C226" i="7"/>
  <c r="C227" i="7" s="1"/>
  <c r="C228" i="7" s="1"/>
  <c r="C229" i="7" s="1"/>
  <c r="C230" i="7" s="1"/>
  <c r="C231" i="7" s="1"/>
  <c r="C232" i="7" s="1"/>
  <c r="C233" i="7" s="1"/>
  <c r="C234" i="7" s="1"/>
  <c r="C259" i="7" s="1"/>
  <c r="C260" i="7" s="1"/>
  <c r="C261" i="7" s="1"/>
  <c r="C262" i="7" s="1"/>
  <c r="C263" i="7" s="1"/>
  <c r="C264" i="7" s="1"/>
  <c r="C265" i="7" s="1"/>
  <c r="C266" i="7" s="1"/>
  <c r="C267" i="7" s="1"/>
  <c r="C268" i="7" s="1"/>
  <c r="E221" i="7"/>
  <c r="E222" i="7" s="1"/>
  <c r="D217" i="7"/>
  <c r="D218" i="7" s="1"/>
  <c r="D219" i="7" s="1"/>
  <c r="D220" i="7" s="1"/>
  <c r="D221" i="7" s="1"/>
  <c r="D222" i="7" s="1"/>
  <c r="D223" i="7" s="1"/>
  <c r="D224" i="7" s="1"/>
  <c r="E215" i="7"/>
  <c r="E211" i="7"/>
  <c r="E212" i="7" s="1"/>
  <c r="E213" i="7" s="1"/>
  <c r="E208" i="7"/>
  <c r="E209" i="7" s="1"/>
  <c r="E204" i="7"/>
  <c r="D204" i="7"/>
  <c r="D205" i="7" s="1"/>
  <c r="D206" i="7" s="1"/>
  <c r="D207" i="7" s="1"/>
  <c r="D208" i="7" s="1"/>
  <c r="D209" i="7" s="1"/>
  <c r="D210" i="7" s="1"/>
  <c r="D211" i="7" s="1"/>
  <c r="D212" i="7" s="1"/>
  <c r="D213" i="7" s="1"/>
  <c r="D214" i="7" s="1"/>
  <c r="D215" i="7" s="1"/>
  <c r="C204" i="7"/>
  <c r="C205" i="7" s="1"/>
  <c r="C206" i="7" s="1"/>
  <c r="C207" i="7" s="1"/>
  <c r="C208" i="7" s="1"/>
  <c r="C209" i="7" s="1"/>
  <c r="C210" i="7" s="1"/>
  <c r="C211" i="7" s="1"/>
  <c r="C212" i="7" s="1"/>
  <c r="C213" i="7" s="1"/>
  <c r="C214" i="7" s="1"/>
  <c r="C215" i="7" s="1"/>
  <c r="C216" i="7" s="1"/>
  <c r="C217" i="7" s="1"/>
  <c r="C218" i="7" s="1"/>
  <c r="C219" i="7" s="1"/>
  <c r="C220" i="7" s="1"/>
  <c r="C221" i="7" s="1"/>
  <c r="C222" i="7" s="1"/>
  <c r="C223" i="7" s="1"/>
  <c r="C224" i="7" s="1"/>
  <c r="E198" i="7"/>
  <c r="E199" i="7" s="1"/>
  <c r="E200" i="7" s="1"/>
  <c r="E201" i="7" s="1"/>
  <c r="E192" i="7"/>
  <c r="E193" i="7" s="1"/>
  <c r="E194" i="7" s="1"/>
  <c r="E195" i="7" s="1"/>
  <c r="E196" i="7" s="1"/>
  <c r="E188" i="7"/>
  <c r="D188" i="7"/>
  <c r="D189" i="7" s="1"/>
  <c r="D190" i="7" s="1"/>
  <c r="D191" i="7" s="1"/>
  <c r="D192" i="7" s="1"/>
  <c r="D193" i="7" s="1"/>
  <c r="D194" i="7" s="1"/>
  <c r="D195" i="7" s="1"/>
  <c r="D196" i="7" s="1"/>
  <c r="D197" i="7" s="1"/>
  <c r="D198" i="7" s="1"/>
  <c r="D199" i="7" s="1"/>
  <c r="D200" i="7" s="1"/>
  <c r="D201" i="7" s="1"/>
  <c r="D202" i="7" s="1"/>
  <c r="E186" i="7"/>
  <c r="E182" i="7"/>
  <c r="E183" i="7" s="1"/>
  <c r="E184" i="7" s="1"/>
  <c r="E179" i="7"/>
  <c r="E180" i="7" s="1"/>
  <c r="D177" i="7"/>
  <c r="D178" i="7" s="1"/>
  <c r="D179" i="7" s="1"/>
  <c r="D180" i="7" s="1"/>
  <c r="D181" i="7" s="1"/>
  <c r="D182" i="7" s="1"/>
  <c r="D183" i="7" s="1"/>
  <c r="D184" i="7" s="1"/>
  <c r="D185" i="7" s="1"/>
  <c r="D186" i="7" s="1"/>
  <c r="C177" i="7"/>
  <c r="C178" i="7" s="1"/>
  <c r="C179" i="7" s="1"/>
  <c r="C180" i="7" s="1"/>
  <c r="C181" i="7" s="1"/>
  <c r="C182" i="7" s="1"/>
  <c r="C183" i="7" s="1"/>
  <c r="C184" i="7" s="1"/>
  <c r="C185" i="7" s="1"/>
  <c r="C186" i="7" s="1"/>
  <c r="C187" i="7" s="1"/>
  <c r="C188" i="7" s="1"/>
  <c r="C189" i="7" s="1"/>
  <c r="C190" i="7" s="1"/>
  <c r="C191" i="7" s="1"/>
  <c r="C192" i="7" s="1"/>
  <c r="C193" i="7" s="1"/>
  <c r="C194" i="7" s="1"/>
  <c r="C195" i="7" s="1"/>
  <c r="C196" i="7" s="1"/>
  <c r="C197" i="7" s="1"/>
  <c r="C198" i="7" s="1"/>
  <c r="C199" i="7" s="1"/>
  <c r="C200" i="7" s="1"/>
  <c r="C201" i="7" s="1"/>
  <c r="C202" i="7" s="1"/>
  <c r="E173" i="7"/>
  <c r="D173" i="7"/>
  <c r="D174" i="7" s="1"/>
  <c r="D175" i="7" s="1"/>
  <c r="E168" i="7"/>
  <c r="E169" i="7" s="1"/>
  <c r="E170" i="7" s="1"/>
  <c r="E165" i="7"/>
  <c r="E166" i="7" s="1"/>
  <c r="D163" i="7"/>
  <c r="D164" i="7" s="1"/>
  <c r="D165" i="7" s="1"/>
  <c r="D166" i="7" s="1"/>
  <c r="D167" i="7" s="1"/>
  <c r="D168" i="7" s="1"/>
  <c r="D169" i="7" s="1"/>
  <c r="D170" i="7" s="1"/>
  <c r="D171" i="7" s="1"/>
  <c r="C163" i="7"/>
  <c r="C164" i="7" s="1"/>
  <c r="C165" i="7" s="1"/>
  <c r="C166" i="7" s="1"/>
  <c r="C167" i="7" s="1"/>
  <c r="C168" i="7" s="1"/>
  <c r="C169" i="7" s="1"/>
  <c r="C170" i="7" s="1"/>
  <c r="C171" i="7" s="1"/>
  <c r="C172" i="7" s="1"/>
  <c r="C173" i="7" s="1"/>
  <c r="C174" i="7" s="1"/>
  <c r="C175" i="7" s="1"/>
  <c r="E153" i="7"/>
  <c r="E154" i="7" s="1"/>
  <c r="E155" i="7" s="1"/>
  <c r="E156" i="7" s="1"/>
  <c r="E157" i="7" s="1"/>
  <c r="E158" i="7" s="1"/>
  <c r="E159" i="7" s="1"/>
  <c r="E160" i="7" s="1"/>
  <c r="D153" i="7"/>
  <c r="D154" i="7" s="1"/>
  <c r="D155" i="7" s="1"/>
  <c r="D156" i="7" s="1"/>
  <c r="D157" i="7" s="1"/>
  <c r="D158" i="7" s="1"/>
  <c r="D159" i="7" s="1"/>
  <c r="D160" i="7" s="1"/>
  <c r="D161" i="7" s="1"/>
  <c r="C153" i="7"/>
  <c r="C154" i="7" s="1"/>
  <c r="C155" i="7" s="1"/>
  <c r="C156" i="7" s="1"/>
  <c r="C157" i="7" s="1"/>
  <c r="C158" i="7" s="1"/>
  <c r="C159" i="7" s="1"/>
  <c r="C160" i="7" s="1"/>
  <c r="C161" i="7" s="1"/>
  <c r="E147" i="7"/>
  <c r="E148" i="7" s="1"/>
  <c r="E149" i="7" s="1"/>
  <c r="E150" i="7" s="1"/>
  <c r="E140" i="7"/>
  <c r="E141" i="7" s="1"/>
  <c r="E142" i="7" s="1"/>
  <c r="D140" i="7"/>
  <c r="D141" i="7" s="1"/>
  <c r="D142" i="7" s="1"/>
  <c r="D143" i="7" s="1"/>
  <c r="D144" i="7" s="1"/>
  <c r="D145" i="7" s="1"/>
  <c r="D146" i="7" s="1"/>
  <c r="D147" i="7" s="1"/>
  <c r="D148" i="7" s="1"/>
  <c r="D149" i="7" s="1"/>
  <c r="D150" i="7" s="1"/>
  <c r="D151" i="7" s="1"/>
  <c r="E135" i="7"/>
  <c r="E130" i="7"/>
  <c r="E131" i="7" s="1"/>
  <c r="E132" i="7" s="1"/>
  <c r="E127" i="7"/>
  <c r="E128" i="7" s="1"/>
  <c r="E124" i="7"/>
  <c r="D124" i="7"/>
  <c r="D125" i="7" s="1"/>
  <c r="D126" i="7" s="1"/>
  <c r="D127" i="7" s="1"/>
  <c r="D128" i="7" s="1"/>
  <c r="D129" i="7" s="1"/>
  <c r="D130" i="7" s="1"/>
  <c r="D131" i="7" s="1"/>
  <c r="D132" i="7" s="1"/>
  <c r="D133" i="7" s="1"/>
  <c r="D134" i="7" s="1"/>
  <c r="D135" i="7" s="1"/>
  <c r="D136" i="7" s="1"/>
  <c r="D137" i="7" s="1"/>
  <c r="D138" i="7" s="1"/>
  <c r="C124" i="7"/>
  <c r="C125" i="7" s="1"/>
  <c r="C126" i="7" s="1"/>
  <c r="C127" i="7" s="1"/>
  <c r="C128" i="7" s="1"/>
  <c r="C129" i="7" s="1"/>
  <c r="C130" i="7" s="1"/>
  <c r="C131" i="7" s="1"/>
  <c r="C132" i="7" s="1"/>
  <c r="C133" i="7" s="1"/>
  <c r="C134" i="7" s="1"/>
  <c r="C135" i="7" s="1"/>
  <c r="C136" i="7" s="1"/>
  <c r="C137" i="7" s="1"/>
  <c r="E116" i="7"/>
  <c r="E117" i="7" s="1"/>
  <c r="E118" i="7" s="1"/>
  <c r="E119" i="7" s="1"/>
  <c r="E120" i="7" s="1"/>
  <c r="E110" i="7"/>
  <c r="D110" i="7"/>
  <c r="D111" i="7" s="1"/>
  <c r="D112" i="7" s="1"/>
  <c r="D113" i="7" s="1"/>
  <c r="D114" i="7" s="1"/>
  <c r="D115" i="7" s="1"/>
  <c r="D116" i="7" s="1"/>
  <c r="D117" i="7" s="1"/>
  <c r="D118" i="7" s="1"/>
  <c r="D119" i="7" s="1"/>
  <c r="D120" i="7" s="1"/>
  <c r="D121" i="7" s="1"/>
  <c r="D122" i="7" s="1"/>
  <c r="E105" i="7"/>
  <c r="E106" i="7" s="1"/>
  <c r="E107" i="7" s="1"/>
  <c r="E102" i="7"/>
  <c r="E103" i="7" s="1"/>
  <c r="D100" i="7"/>
  <c r="D101" i="7" s="1"/>
  <c r="D102" i="7" s="1"/>
  <c r="D103" i="7" s="1"/>
  <c r="D104" i="7" s="1"/>
  <c r="D105" i="7" s="1"/>
  <c r="D106" i="7" s="1"/>
  <c r="D107" i="7" s="1"/>
  <c r="C100" i="7"/>
  <c r="C101" i="7" s="1"/>
  <c r="C102" i="7" s="1"/>
  <c r="C103" i="7" s="1"/>
  <c r="C104" i="7" s="1"/>
  <c r="C105" i="7" s="1"/>
  <c r="C106" i="7" s="1"/>
  <c r="C107" i="7" s="1"/>
  <c r="C108" i="7" s="1"/>
  <c r="C109" i="7" s="1"/>
  <c r="C110" i="7" s="1"/>
  <c r="C111" i="7" s="1"/>
  <c r="C112" i="7" s="1"/>
  <c r="C113" i="7" s="1"/>
  <c r="C114" i="7" s="1"/>
  <c r="C115" i="7" s="1"/>
  <c r="C116" i="7" s="1"/>
  <c r="C117" i="7" s="1"/>
  <c r="C118" i="7" s="1"/>
  <c r="C119" i="7" s="1"/>
  <c r="C120" i="7" s="1"/>
  <c r="C121" i="7" s="1"/>
  <c r="C122" i="7" s="1"/>
  <c r="E97" i="7"/>
  <c r="E93" i="7"/>
  <c r="E94" i="7" s="1"/>
  <c r="E95" i="7" s="1"/>
  <c r="E88" i="7"/>
  <c r="E89" i="7" s="1"/>
  <c r="E90" i="7" s="1"/>
  <c r="E91" i="7" s="1"/>
  <c r="E84" i="7"/>
  <c r="E82" i="7"/>
  <c r="E74" i="7"/>
  <c r="E73" i="7"/>
  <c r="E70" i="7"/>
  <c r="E71" i="7" s="1"/>
  <c r="E66" i="7"/>
  <c r="E67" i="7" s="1"/>
  <c r="E68" i="7" s="1"/>
  <c r="D65" i="7"/>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E58" i="7"/>
  <c r="E59" i="7" s="1"/>
  <c r="E60" i="7" s="1"/>
  <c r="E61" i="7" s="1"/>
  <c r="E62" i="7" s="1"/>
  <c r="E63" i="7" s="1"/>
  <c r="D58" i="7"/>
  <c r="D59" i="7" s="1"/>
  <c r="D60" i="7" s="1"/>
  <c r="D61" i="7" s="1"/>
  <c r="D62" i="7" s="1"/>
  <c r="D63" i="7" s="1"/>
  <c r="E56" i="7"/>
  <c r="E54" i="7"/>
  <c r="E55" i="7" s="1"/>
  <c r="E51" i="7"/>
  <c r="E52" i="7" s="1"/>
  <c r="D51" i="7"/>
  <c r="D52" i="7" s="1"/>
  <c r="D53" i="7" s="1"/>
  <c r="D54" i="7" s="1"/>
  <c r="D55" i="7" s="1"/>
  <c r="D56" i="7" s="1"/>
  <c r="C51" i="7"/>
  <c r="C52" i="7" s="1"/>
  <c r="C53" i="7" s="1"/>
  <c r="C54" i="7" s="1"/>
  <c r="C55" i="7" s="1"/>
  <c r="C56" i="7" s="1"/>
  <c r="C57" i="7" s="1"/>
  <c r="C58" i="7" s="1"/>
  <c r="C59" i="7" s="1"/>
  <c r="C60" i="7" s="1"/>
  <c r="C61" i="7" s="1"/>
  <c r="C62" i="7" s="1"/>
  <c r="C63" i="7" s="1"/>
  <c r="C64" i="7" s="1"/>
  <c r="C65" i="7" s="1"/>
  <c r="C66" i="7" s="1"/>
  <c r="C67" i="7" s="1"/>
  <c r="C68" i="7" s="1"/>
  <c r="C69" i="7" s="1"/>
  <c r="C70" i="7" s="1"/>
  <c r="C71" i="7" s="1"/>
  <c r="C72" i="7" s="1"/>
  <c r="C73" i="7" s="1"/>
  <c r="C74" i="7" s="1"/>
  <c r="C75" i="7" s="1"/>
  <c r="C76" i="7" s="1"/>
  <c r="C77" i="7" s="1"/>
  <c r="C78" i="7" s="1"/>
  <c r="C79" i="7" s="1"/>
  <c r="C80" i="7" s="1"/>
  <c r="C81" i="7" s="1"/>
  <c r="C82" i="7" s="1"/>
  <c r="C83" i="7" s="1"/>
  <c r="C84" i="7" s="1"/>
  <c r="C85" i="7" s="1"/>
  <c r="C86" i="7" s="1"/>
  <c r="C87" i="7" s="1"/>
  <c r="C88" i="7" s="1"/>
  <c r="C89" i="7" s="1"/>
  <c r="C90" i="7" s="1"/>
  <c r="C91" i="7" s="1"/>
  <c r="C92" i="7" s="1"/>
  <c r="C93" i="7" s="1"/>
  <c r="C94" i="7" s="1"/>
  <c r="C95" i="7" s="1"/>
  <c r="C96" i="7" s="1"/>
  <c r="C97" i="7" s="1"/>
  <c r="C98" i="7" s="1"/>
  <c r="C48" i="7"/>
  <c r="C49" i="7" s="1"/>
  <c r="E47" i="7"/>
  <c r="E48" i="7" s="1"/>
  <c r="E49" i="7" s="1"/>
  <c r="D47" i="7"/>
  <c r="D48" i="7" s="1"/>
  <c r="D49" i="7" s="1"/>
  <c r="C47" i="7"/>
  <c r="E42" i="7"/>
  <c r="E43" i="7" s="1"/>
  <c r="E44" i="7" s="1"/>
  <c r="E45" i="7" s="1"/>
  <c r="D42" i="7"/>
  <c r="D43" i="7" s="1"/>
  <c r="D44" i="7" s="1"/>
  <c r="D45" i="7" s="1"/>
  <c r="C42" i="7"/>
  <c r="C43" i="7" s="1"/>
  <c r="C44" i="7" s="1"/>
  <c r="C45" i="7" s="1"/>
  <c r="E36" i="7"/>
  <c r="E37" i="7" s="1"/>
  <c r="E32" i="7"/>
  <c r="E33" i="7" s="1"/>
  <c r="E34" i="7" s="1"/>
  <c r="D29" i="7"/>
  <c r="D30" i="7" s="1"/>
  <c r="D31" i="7" s="1"/>
  <c r="D32" i="7" s="1"/>
  <c r="D33" i="7" s="1"/>
  <c r="D34" i="7" s="1"/>
  <c r="D35" i="7" s="1"/>
  <c r="D36" i="7" s="1"/>
  <c r="D37" i="7" s="1"/>
  <c r="D38" i="7" s="1"/>
  <c r="D39" i="7" s="1"/>
  <c r="D40" i="7" s="1"/>
  <c r="E28" i="7"/>
  <c r="E29" i="7" s="1"/>
  <c r="D28" i="7"/>
  <c r="C28" i="7"/>
  <c r="C29" i="7" s="1"/>
  <c r="C30" i="7" s="1"/>
  <c r="C31" i="7" s="1"/>
  <c r="C32" i="7" s="1"/>
  <c r="C33" i="7" s="1"/>
  <c r="C34" i="7" s="1"/>
  <c r="C35" i="7" s="1"/>
  <c r="C36" i="7" s="1"/>
  <c r="C37" i="7" s="1"/>
  <c r="C38" i="7" s="1"/>
  <c r="C39" i="7" s="1"/>
  <c r="C40" i="7" s="1"/>
  <c r="E24" i="7"/>
  <c r="E19" i="7"/>
  <c r="E20" i="7" s="1"/>
  <c r="E16" i="7"/>
  <c r="E17" i="7" s="1"/>
  <c r="D13" i="7"/>
  <c r="D14" i="7" s="1"/>
  <c r="D15" i="7" s="1"/>
  <c r="D16" i="7" s="1"/>
  <c r="D17" i="7" s="1"/>
  <c r="D18" i="7" s="1"/>
  <c r="D19" i="7" s="1"/>
  <c r="D20" i="7" s="1"/>
  <c r="D21" i="7" s="1"/>
  <c r="D22" i="7" s="1"/>
  <c r="D23" i="7" s="1"/>
  <c r="D24" i="7" s="1"/>
  <c r="E7" i="7"/>
  <c r="E8" i="7" s="1"/>
  <c r="D7" i="7"/>
  <c r="D8" i="7" s="1"/>
  <c r="D9" i="7" s="1"/>
  <c r="D10" i="7" s="1"/>
  <c r="D11" i="7" s="1"/>
  <c r="C7" i="7"/>
  <c r="C8" i="7" s="1"/>
  <c r="C9" i="7" s="1"/>
  <c r="C10" i="7" s="1"/>
  <c r="C11" i="7" s="1"/>
  <c r="C12" i="7" s="1"/>
  <c r="C13" i="7" s="1"/>
  <c r="C14" i="7" s="1"/>
  <c r="C15" i="7" s="1"/>
  <c r="C16" i="7" s="1"/>
  <c r="C17" i="7" s="1"/>
  <c r="C18" i="7" s="1"/>
  <c r="C19" i="7" s="1"/>
  <c r="C20" i="7" s="1"/>
  <c r="C21" i="7" s="1"/>
  <c r="C22" i="7" s="1"/>
  <c r="C23" i="7" s="1"/>
  <c r="C24" i="7" s="1"/>
  <c r="C269" i="7" l="1"/>
  <c r="C270" i="7" s="1"/>
  <c r="C271" i="7" s="1"/>
  <c r="C272" i="7" s="1"/>
  <c r="C273" i="7" s="1"/>
  <c r="C274" i="7" s="1"/>
  <c r="C275" i="7" s="1"/>
  <c r="C276" i="7" s="1"/>
  <c r="C277" i="7" s="1"/>
  <c r="C278" i="7" s="1"/>
  <c r="C279" i="7" s="1"/>
  <c r="C280" i="7" s="1"/>
  <c r="C281" i="7" s="1"/>
  <c r="C282" i="7" s="1"/>
  <c r="C283" i="7" s="1"/>
  <c r="C284" i="7" s="1"/>
  <c r="C285" i="7" s="1"/>
  <c r="C286" i="7" s="1"/>
  <c r="C287" i="7" s="1"/>
  <c r="C288" i="7" s="1"/>
  <c r="C289" i="7" s="1"/>
  <c r="C290" i="7" s="1"/>
  <c r="C291" i="7" s="1"/>
  <c r="C292" i="7" s="1"/>
  <c r="C293" i="7" s="1"/>
  <c r="C294" i="7" s="1"/>
  <c r="C295" i="7" s="1"/>
  <c r="C254" i="7"/>
  <c r="C255" i="7" s="1"/>
  <c r="C256" i="7" s="1"/>
  <c r="C257" i="7" s="1"/>
  <c r="C258" i="7" s="1"/>
  <c r="C139" i="7"/>
  <c r="C140" i="7" s="1"/>
  <c r="C141" i="7" s="1"/>
  <c r="C142" i="7" s="1"/>
  <c r="C143" i="7" s="1"/>
  <c r="C144" i="7" s="1"/>
  <c r="C145" i="7" s="1"/>
  <c r="C146" i="7" s="1"/>
  <c r="C147" i="7" s="1"/>
  <c r="C148" i="7" s="1"/>
  <c r="C149" i="7" s="1"/>
  <c r="C150" i="7" s="1"/>
  <c r="C151" i="7" s="1"/>
  <c r="C138" i="7"/>
</calcChain>
</file>

<file path=xl/sharedStrings.xml><?xml version="1.0" encoding="utf-8"?>
<sst xmlns="http://schemas.openxmlformats.org/spreadsheetml/2006/main" count="1212" uniqueCount="433">
  <si>
    <t>WBS</t>
    <phoneticPr fontId="1"/>
  </si>
  <si>
    <t>課題管理表</t>
    <rPh sb="0" eb="2">
      <t>カダイ</t>
    </rPh>
    <rPh sb="2" eb="5">
      <t>カンリヒョウ</t>
    </rPh>
    <phoneticPr fontId="1"/>
  </si>
  <si>
    <t>リスク管理表</t>
    <rPh sb="3" eb="6">
      <t>カンリヒョウ</t>
    </rPh>
    <phoneticPr fontId="1"/>
  </si>
  <si>
    <t>リリース計画書</t>
    <rPh sb="4" eb="7">
      <t>ケイカクショ</t>
    </rPh>
    <phoneticPr fontId="1"/>
  </si>
  <si>
    <t>□</t>
    <phoneticPr fontId="1"/>
  </si>
  <si>
    <t>スケジュールに変更はないか。変更がある場合、変更が完了しプロジェクト承認を得られているか</t>
    <rPh sb="7" eb="9">
      <t>ヘンコウ</t>
    </rPh>
    <rPh sb="14" eb="16">
      <t>ヘンコウ</t>
    </rPh>
    <rPh sb="19" eb="21">
      <t>バアイ</t>
    </rPh>
    <rPh sb="22" eb="24">
      <t>ヘンコウ</t>
    </rPh>
    <rPh sb="25" eb="27">
      <t>カンリョウ</t>
    </rPh>
    <rPh sb="34" eb="36">
      <t>ショウニン</t>
    </rPh>
    <rPh sb="37" eb="38">
      <t>エ</t>
    </rPh>
    <phoneticPr fontId="1"/>
  </si>
  <si>
    <t>フェーズ開始前</t>
    <rPh sb="4" eb="6">
      <t>カイシ</t>
    </rPh>
    <rPh sb="6" eb="7">
      <t>マエ</t>
    </rPh>
    <phoneticPr fontId="1"/>
  </si>
  <si>
    <t>課題が解決しているか、積み残しがある場合、キャッチアップの方法、時期は明確になっているか</t>
    <rPh sb="0" eb="2">
      <t>カダイ</t>
    </rPh>
    <rPh sb="3" eb="5">
      <t>カイケツ</t>
    </rPh>
    <rPh sb="11" eb="12">
      <t>ツ</t>
    </rPh>
    <rPh sb="13" eb="14">
      <t>ノコ</t>
    </rPh>
    <rPh sb="18" eb="20">
      <t>バアイ</t>
    </rPh>
    <rPh sb="29" eb="31">
      <t>ホウホウ</t>
    </rPh>
    <rPh sb="32" eb="34">
      <t>ジキ</t>
    </rPh>
    <rPh sb="35" eb="37">
      <t>メイカク</t>
    </rPh>
    <phoneticPr fontId="1"/>
  </si>
  <si>
    <t>課題棚卸</t>
    <rPh sb="0" eb="4">
      <t>カダイタナオロシ</t>
    </rPh>
    <phoneticPr fontId="1"/>
  </si>
  <si>
    <t>資源管理がルール通り正しく遂行されたか</t>
  </si>
  <si>
    <t>資源管理</t>
    <rPh sb="0" eb="4">
      <t>シゲンカンリ</t>
    </rPh>
    <phoneticPr fontId="1"/>
  </si>
  <si>
    <t>必要な要件が全て網羅されているか</t>
  </si>
  <si>
    <t>テスト観点</t>
    <rPh sb="3" eb="5">
      <t>カンテン</t>
    </rPh>
    <phoneticPr fontId="1"/>
  </si>
  <si>
    <t>フェーズ終了時</t>
    <rPh sb="4" eb="6">
      <t>シュウリョウ</t>
    </rPh>
    <rPh sb="6" eb="7">
      <t>ジ</t>
    </rPh>
    <phoneticPr fontId="1"/>
  </si>
  <si>
    <t>UAT</t>
    <phoneticPr fontId="1"/>
  </si>
  <si>
    <t>先の工程に向けた準備</t>
  </si>
  <si>
    <t>受入テストの準備状況</t>
    <rPh sb="0" eb="2">
      <t>ウケイレ</t>
    </rPh>
    <rPh sb="6" eb="8">
      <t>ジュンビ</t>
    </rPh>
    <rPh sb="8" eb="10">
      <t>ジョウキョウ</t>
    </rPh>
    <phoneticPr fontId="1"/>
  </si>
  <si>
    <t>会議招集がされているか</t>
    <rPh sb="0" eb="4">
      <t>カイギショウシュウ</t>
    </rPh>
    <phoneticPr fontId="1"/>
  </si>
  <si>
    <t>セッションスケジュールがステークホルダーの承認を得られているか</t>
    <rPh sb="21" eb="23">
      <t>ショウニン</t>
    </rPh>
    <rPh sb="24" eb="25">
      <t>エ</t>
    </rPh>
    <phoneticPr fontId="1"/>
  </si>
  <si>
    <t>セッションスケジュールが決定しているか</t>
    <rPh sb="12" eb="14">
      <t>ケッテイ</t>
    </rPh>
    <phoneticPr fontId="1"/>
  </si>
  <si>
    <t>セッション</t>
    <phoneticPr fontId="1"/>
  </si>
  <si>
    <t>スケジュールは詳細・精緻化されているか（定量的な報告が可能になっているか）</t>
    <rPh sb="7" eb="9">
      <t>ショウサイ</t>
    </rPh>
    <rPh sb="10" eb="13">
      <t>セイチカ</t>
    </rPh>
    <rPh sb="20" eb="23">
      <t>テイリョウテキ</t>
    </rPh>
    <rPh sb="24" eb="26">
      <t>ホウコク</t>
    </rPh>
    <rPh sb="27" eb="29">
      <t>カノウ</t>
    </rPh>
    <phoneticPr fontId="1"/>
  </si>
  <si>
    <t>WBSに抜け漏れはないか</t>
    <rPh sb="4" eb="5">
      <t>ヌ</t>
    </rPh>
    <rPh sb="6" eb="7">
      <t>モ</t>
    </rPh>
    <phoneticPr fontId="1"/>
  </si>
  <si>
    <t>スケジュール</t>
    <phoneticPr fontId="1"/>
  </si>
  <si>
    <t>設計フェーズとのトレーサビリティは確認できているか</t>
    <rPh sb="0" eb="2">
      <t>セッケイ</t>
    </rPh>
    <rPh sb="17" eb="19">
      <t>カクニン</t>
    </rPh>
    <phoneticPr fontId="1"/>
  </si>
  <si>
    <t>工程間の前後関係</t>
  </si>
  <si>
    <t>対象はすべて洗い出されているか</t>
    <rPh sb="0" eb="2">
      <t>タイショウ</t>
    </rPh>
    <rPh sb="6" eb="7">
      <t>アラ</t>
    </rPh>
    <rPh sb="8" eb="9">
      <t>ダ</t>
    </rPh>
    <phoneticPr fontId="1"/>
  </si>
  <si>
    <t>網羅性</t>
    <rPh sb="0" eb="3">
      <t>モウラセイ</t>
    </rPh>
    <phoneticPr fontId="1"/>
  </si>
  <si>
    <t>Itb</t>
    <phoneticPr fontId="1"/>
  </si>
  <si>
    <t>課題が解決しているか、積み残しの場合、キャッチアップの方法、時期は明確になっているか</t>
    <phoneticPr fontId="1"/>
  </si>
  <si>
    <t>システム内の結合テスト観点でテストが実施出来ているか</t>
    <rPh sb="4" eb="5">
      <t>ナイ</t>
    </rPh>
    <rPh sb="6" eb="8">
      <t>ケツゴウ</t>
    </rPh>
    <rPh sb="11" eb="13">
      <t>カンテン</t>
    </rPh>
    <rPh sb="18" eb="20">
      <t>ジッシ</t>
    </rPh>
    <rPh sb="20" eb="22">
      <t>デキ</t>
    </rPh>
    <phoneticPr fontId="1"/>
  </si>
  <si>
    <t>Ita</t>
    <phoneticPr fontId="1"/>
  </si>
  <si>
    <t>資源管理がルール通り正しく遂行されたか</t>
    <rPh sb="8" eb="9">
      <t>ドオ</t>
    </rPh>
    <rPh sb="10" eb="11">
      <t>タダ</t>
    </rPh>
    <rPh sb="13" eb="15">
      <t>スイコウ</t>
    </rPh>
    <phoneticPr fontId="1"/>
  </si>
  <si>
    <t>障害発生の観点（エラー時のLOG、エラー画面、画面遷移）のテストが実施されているか</t>
    <rPh sb="0" eb="2">
      <t>ショウガイ</t>
    </rPh>
    <rPh sb="2" eb="4">
      <t>ハッセイ</t>
    </rPh>
    <rPh sb="5" eb="7">
      <t>カンテン</t>
    </rPh>
    <rPh sb="11" eb="12">
      <t>ジ</t>
    </rPh>
    <rPh sb="20" eb="22">
      <t>ガメン</t>
    </rPh>
    <rPh sb="23" eb="27">
      <t>ガメンセンイ</t>
    </rPh>
    <rPh sb="33" eb="35">
      <t>ジッシ</t>
    </rPh>
    <phoneticPr fontId="1"/>
  </si>
  <si>
    <t>テスト対象の一覧が作成されているか</t>
    <rPh sb="3" eb="5">
      <t>タイショウ</t>
    </rPh>
    <rPh sb="6" eb="8">
      <t>イチラン</t>
    </rPh>
    <rPh sb="8" eb="10">
      <t>イチラン</t>
    </rPh>
    <rPh sb="10" eb="12">
      <t>イチラン</t>
    </rPh>
    <rPh sb="13" eb="15">
      <t>サクセイ</t>
    </rPh>
    <phoneticPr fontId="1"/>
  </si>
  <si>
    <t>先の工程に向けた準備</t>
    <rPh sb="0" eb="1">
      <t>サキ</t>
    </rPh>
    <rPh sb="2" eb="4">
      <t>コウテイ</t>
    </rPh>
    <rPh sb="5" eb="6">
      <t>ム</t>
    </rPh>
    <rPh sb="8" eb="10">
      <t>ジュンビ</t>
    </rPh>
    <phoneticPr fontId="1"/>
  </si>
  <si>
    <t>管理</t>
    <rPh sb="0" eb="2">
      <t>カンリ</t>
    </rPh>
    <phoneticPr fontId="1"/>
  </si>
  <si>
    <t>資源管理</t>
    <rPh sb="0" eb="2">
      <t>シゲン</t>
    </rPh>
    <rPh sb="2" eb="4">
      <t>カンリ</t>
    </rPh>
    <phoneticPr fontId="1"/>
  </si>
  <si>
    <t>開発前の認識合わせ
（重要）</t>
    <rPh sb="0" eb="2">
      <t>カイハツ</t>
    </rPh>
    <rPh sb="2" eb="3">
      <t>マエ</t>
    </rPh>
    <rPh sb="4" eb="7">
      <t>ニンシキア</t>
    </rPh>
    <rPh sb="11" eb="13">
      <t>ジュウヨウ</t>
    </rPh>
    <phoneticPr fontId="1"/>
  </si>
  <si>
    <t>前フェーズとのトレーサビリティは確認できているか</t>
    <rPh sb="0" eb="1">
      <t>マエ</t>
    </rPh>
    <rPh sb="16" eb="18">
      <t>カクニン</t>
    </rPh>
    <phoneticPr fontId="1"/>
  </si>
  <si>
    <t>開発・UT</t>
    <rPh sb="0" eb="2">
      <t>カイハツ</t>
    </rPh>
    <phoneticPr fontId="1"/>
  </si>
  <si>
    <t>テスト環境準備</t>
    <rPh sb="3" eb="5">
      <t>カンキョウ</t>
    </rPh>
    <rPh sb="5" eb="7">
      <t>ジュンビ</t>
    </rPh>
    <phoneticPr fontId="1"/>
  </si>
  <si>
    <t>要件定義</t>
    <rPh sb="0" eb="4">
      <t>ヨウケンテイギ</t>
    </rPh>
    <phoneticPr fontId="1"/>
  </si>
  <si>
    <t>IT受入計画書</t>
    <rPh sb="2" eb="4">
      <t>ウケイレ</t>
    </rPh>
    <rPh sb="4" eb="7">
      <t>ケイカクショ</t>
    </rPh>
    <phoneticPr fontId="1"/>
  </si>
  <si>
    <t>ITテスト計画書
・Ita、Itb（ST）</t>
    <rPh sb="5" eb="8">
      <t>ケイカクショ</t>
    </rPh>
    <phoneticPr fontId="1"/>
  </si>
  <si>
    <t>ITテスト計画</t>
    <rPh sb="5" eb="7">
      <t>ケイカク</t>
    </rPh>
    <phoneticPr fontId="1"/>
  </si>
  <si>
    <t>リリース計画</t>
    <rPh sb="4" eb="6">
      <t>ケイカク</t>
    </rPh>
    <phoneticPr fontId="1"/>
  </si>
  <si>
    <t>コスト計画が明確になっているか</t>
    <rPh sb="3" eb="5">
      <t>ケイカク</t>
    </rPh>
    <rPh sb="6" eb="8">
      <t>メイカク</t>
    </rPh>
    <phoneticPr fontId="1"/>
  </si>
  <si>
    <t>要員計画表</t>
    <rPh sb="0" eb="2">
      <t>ヨウイン</t>
    </rPh>
    <phoneticPr fontId="1"/>
  </si>
  <si>
    <t>コスト管理表</t>
  </si>
  <si>
    <t>雛形が用意されているか</t>
    <rPh sb="0" eb="2">
      <t>ヒナガタ</t>
    </rPh>
    <rPh sb="3" eb="5">
      <t>ヨウイ</t>
    </rPh>
    <phoneticPr fontId="1"/>
  </si>
  <si>
    <t>リスクが洗い出されているか</t>
    <rPh sb="4" eb="5">
      <t>アラ</t>
    </rPh>
    <rPh sb="6" eb="7">
      <t>ダ</t>
    </rPh>
    <phoneticPr fontId="1"/>
  </si>
  <si>
    <t>プロジェクト計画書</t>
    <rPh sb="6" eb="8">
      <t>ケイカク</t>
    </rPh>
    <rPh sb="8" eb="9">
      <t>ショ</t>
    </rPh>
    <phoneticPr fontId="1"/>
  </si>
  <si>
    <t>氏名</t>
    <rPh sb="0" eb="2">
      <t>シメイ</t>
    </rPh>
    <phoneticPr fontId="1"/>
  </si>
  <si>
    <t>日付</t>
    <rPh sb="0" eb="2">
      <t>ヒヅケ</t>
    </rPh>
    <phoneticPr fontId="1"/>
  </si>
  <si>
    <t>チェック</t>
    <phoneticPr fontId="1"/>
  </si>
  <si>
    <t>管理者チェック</t>
    <rPh sb="0" eb="3">
      <t>カンリシャ</t>
    </rPh>
    <phoneticPr fontId="1"/>
  </si>
  <si>
    <t>担当者チェック</t>
    <rPh sb="0" eb="3">
      <t>タントウシャ</t>
    </rPh>
    <phoneticPr fontId="1"/>
  </si>
  <si>
    <t>チェック内容</t>
    <rPh sb="4" eb="6">
      <t>ナイヨウ</t>
    </rPh>
    <phoneticPr fontId="1"/>
  </si>
  <si>
    <t>チェック概要</t>
    <rPh sb="4" eb="6">
      <t>ガイヨウ</t>
    </rPh>
    <phoneticPr fontId="1"/>
  </si>
  <si>
    <t>チェックタイミング</t>
    <phoneticPr fontId="1"/>
  </si>
  <si>
    <t>工程</t>
    <rPh sb="0" eb="2">
      <t>コウテイ</t>
    </rPh>
    <phoneticPr fontId="1"/>
  </si>
  <si>
    <t>#</t>
    <phoneticPr fontId="1"/>
  </si>
  <si>
    <t>要員計画が明確になっているか</t>
    <rPh sb="0" eb="2">
      <t>ヨウイン</t>
    </rPh>
    <rPh sb="2" eb="4">
      <t>ケイカク</t>
    </rPh>
    <rPh sb="5" eb="7">
      <t>メイカク</t>
    </rPh>
    <phoneticPr fontId="1"/>
  </si>
  <si>
    <t>□</t>
  </si>
  <si>
    <t>DDL変更</t>
    <rPh sb="3" eb="5">
      <t>ヘンコウ</t>
    </rPh>
    <phoneticPr fontId="1"/>
  </si>
  <si>
    <t>DDL変更の有無を確認していること
　変更がある場合は、変更理由がまとまっていること</t>
    <rPh sb="3" eb="5">
      <t>ヘンコウ</t>
    </rPh>
    <rPh sb="6" eb="8">
      <t>ウム</t>
    </rPh>
    <rPh sb="9" eb="11">
      <t>カクニン</t>
    </rPh>
    <rPh sb="19" eb="21">
      <t>ヘンコウ</t>
    </rPh>
    <rPh sb="24" eb="26">
      <t>バアイ</t>
    </rPh>
    <rPh sb="28" eb="30">
      <t>ヘンコウ</t>
    </rPh>
    <rPh sb="30" eb="32">
      <t>リユウ</t>
    </rPh>
    <phoneticPr fontId="1"/>
  </si>
  <si>
    <r>
      <t xml:space="preserve">下記内容が明記されているか
-----------------------------------------
</t>
    </r>
    <r>
      <rPr>
        <sz val="8"/>
        <rFont val="游ゴシック"/>
        <family val="3"/>
        <charset val="128"/>
        <scheme val="minor"/>
      </rPr>
      <t>１）プロジェクトの施策と目的	
２）スコープ
　　2.1 システム関連図
　　2.2 業務要件概要
　　2.3 システム機能要件概要
３）プロジェクト方針
　　3.1 開発方針
　　3.2 テスト方針
　　3.3 移行方針
４）マスタスケジュール	
５）体制図	
６）役割分担	
７）会議体	
８）成果物
　　8.1 納品予定日・納品方法
　　8.2 成果物一覧
９）プロジェクト管理
　　9.1 進捗・スケジュール管理
　　9.2 コミュニケーション管理
　　9.3 課題管理
　　9.4 リスク管理
　　9.5 品質管理
　　9.6 変更管理</t>
    </r>
    <r>
      <rPr>
        <sz val="11"/>
        <rFont val="游ゴシック"/>
        <family val="3"/>
        <charset val="128"/>
        <scheme val="minor"/>
      </rPr>
      <t xml:space="preserve">
-----------------------------------------
プロジェクト計画書を作成しない場合はコメント欄に理由を記載すること</t>
    </r>
    <rPh sb="0" eb="2">
      <t>カキ</t>
    </rPh>
    <rPh sb="2" eb="4">
      <t>ナイヨウ</t>
    </rPh>
    <rPh sb="5" eb="7">
      <t>メイキ</t>
    </rPh>
    <rPh sb="378" eb="381">
      <t>ケイカクショ</t>
    </rPh>
    <rPh sb="382" eb="384">
      <t>サクセイ</t>
    </rPh>
    <rPh sb="387" eb="389">
      <t>バアイ</t>
    </rPh>
    <rPh sb="394" eb="395">
      <t>ラン</t>
    </rPh>
    <rPh sb="396" eb="398">
      <t>リユウ</t>
    </rPh>
    <rPh sb="399" eb="401">
      <t>キサイ</t>
    </rPh>
    <phoneticPr fontId="1"/>
  </si>
  <si>
    <t>・障害管理表が１つのドキュメントで管理されていること
　※複数ベンダ参画PJは共通のBookを作成すること</t>
    <rPh sb="1" eb="2">
      <t>ガイ</t>
    </rPh>
    <rPh sb="2" eb="4">
      <t>カンリ</t>
    </rPh>
    <rPh sb="4" eb="5">
      <t>ヒョウ</t>
    </rPh>
    <rPh sb="6" eb="7">
      <t>カク</t>
    </rPh>
    <rPh sb="16" eb="18">
      <t>カンリ</t>
    </rPh>
    <rPh sb="29" eb="31">
      <t>フクスウ</t>
    </rPh>
    <rPh sb="34" eb="36">
      <t>サンカク</t>
    </rPh>
    <rPh sb="39" eb="41">
      <t>キョウツウ</t>
    </rPh>
    <rPh sb="47" eb="49">
      <t>サクセイ</t>
    </rPh>
    <phoneticPr fontId="1"/>
  </si>
  <si>
    <t>・課題管理表が１つのドキュメントで管理されていること
　※複数ベンダ参画PJは共通のBookを作成すること</t>
    <rPh sb="1" eb="3">
      <t>カダイ</t>
    </rPh>
    <rPh sb="3" eb="5">
      <t>カンリ</t>
    </rPh>
    <rPh sb="4" eb="5">
      <t>ヒョウ</t>
    </rPh>
    <rPh sb="6" eb="7">
      <t>カク</t>
    </rPh>
    <rPh sb="16" eb="18">
      <t>カンリ</t>
    </rPh>
    <phoneticPr fontId="1"/>
  </si>
  <si>
    <t>ITA、ITBに向けた親シェルの作成＆NET図との整合性が取れているか（バッチがない場合は対象外）</t>
    <rPh sb="42" eb="44">
      <t>バアイ</t>
    </rPh>
    <rPh sb="45" eb="48">
      <t>タイショウガイ</t>
    </rPh>
    <phoneticPr fontId="1"/>
  </si>
  <si>
    <t>システム間の結合テスト観点でテストが実施出来ているか（バッチがない場合は対象外）</t>
    <rPh sb="4" eb="5">
      <t>カン</t>
    </rPh>
    <rPh sb="6" eb="8">
      <t>ケツゴウ</t>
    </rPh>
    <rPh sb="11" eb="13">
      <t>カンテン</t>
    </rPh>
    <rPh sb="18" eb="20">
      <t>ジッシ</t>
    </rPh>
    <rPh sb="20" eb="22">
      <t>デキ</t>
    </rPh>
    <rPh sb="33" eb="35">
      <t>バアイ</t>
    </rPh>
    <rPh sb="36" eb="39">
      <t>タイショウガイ</t>
    </rPh>
    <phoneticPr fontId="1"/>
  </si>
  <si>
    <t>　※DDL変更がある場合のみ
関連する資材の修正が完了していること</t>
    <rPh sb="15" eb="17">
      <t>カンレン</t>
    </rPh>
    <rPh sb="19" eb="21">
      <t>シザイ</t>
    </rPh>
    <rPh sb="22" eb="24">
      <t>シュウセイ</t>
    </rPh>
    <rPh sb="25" eb="27">
      <t>カンリョウ</t>
    </rPh>
    <phoneticPr fontId="1"/>
  </si>
  <si>
    <t>・ITA、ITBに向けた親シェルの作成がされていること、NET図との整合性が取れていること
　※バッチシステムのリリースがある場合は対象</t>
    <rPh sb="63" eb="65">
      <t>バアイ</t>
    </rPh>
    <rPh sb="66" eb="68">
      <t>タイショウ</t>
    </rPh>
    <phoneticPr fontId="1"/>
  </si>
  <si>
    <t>UATと本番の環境差異をチェックしているか</t>
    <rPh sb="4" eb="6">
      <t>ホンバン</t>
    </rPh>
    <rPh sb="7" eb="9">
      <t>カンキョウ</t>
    </rPh>
    <rPh sb="9" eb="11">
      <t>サイ</t>
    </rPh>
    <phoneticPr fontId="1"/>
  </si>
  <si>
    <t>UAT計画</t>
    <rPh sb="3" eb="5">
      <t>ケイカク</t>
    </rPh>
    <phoneticPr fontId="1"/>
  </si>
  <si>
    <t>ITa開始時</t>
    <rPh sb="3" eb="5">
      <t>カイシ</t>
    </rPh>
    <rPh sb="5" eb="6">
      <t>ジ</t>
    </rPh>
    <phoneticPr fontId="1"/>
  </si>
  <si>
    <t>UATシナリオ作成をユーザーに依頼しているか</t>
    <rPh sb="7" eb="9">
      <t>サクセイ</t>
    </rPh>
    <rPh sb="15" eb="17">
      <t>イライ</t>
    </rPh>
    <phoneticPr fontId="1"/>
  </si>
  <si>
    <t>UATシナリオ作成完了時期が明確になっているか</t>
    <rPh sb="7" eb="9">
      <t>サクセイ</t>
    </rPh>
    <rPh sb="9" eb="11">
      <t>カンリョウ</t>
    </rPh>
    <rPh sb="11" eb="13">
      <t>ジキ</t>
    </rPh>
    <rPh sb="14" eb="16">
      <t>メイカク</t>
    </rPh>
    <phoneticPr fontId="1"/>
  </si>
  <si>
    <t>UAT環境への資材リリースの日程が明確になっているか</t>
    <rPh sb="3" eb="5">
      <t>カンキョウ</t>
    </rPh>
    <rPh sb="7" eb="9">
      <t>シザイ</t>
    </rPh>
    <rPh sb="14" eb="16">
      <t>ニッテイ</t>
    </rPh>
    <rPh sb="17" eb="19">
      <t>メイカク</t>
    </rPh>
    <phoneticPr fontId="1"/>
  </si>
  <si>
    <t>運用ルールが定義されているか</t>
    <rPh sb="6" eb="8">
      <t>テイギ</t>
    </rPh>
    <phoneticPr fontId="1"/>
  </si>
  <si>
    <t>マスタスケジュールに変更はないか。変更がある場合、変更が完了しプロジェクト承認を得られているか</t>
    <phoneticPr fontId="1"/>
  </si>
  <si>
    <t>業務</t>
    <rPh sb="0" eb="2">
      <t>ギョウム</t>
    </rPh>
    <phoneticPr fontId="1"/>
  </si>
  <si>
    <t>IF</t>
    <phoneticPr fontId="1"/>
  </si>
  <si>
    <t>システム</t>
    <phoneticPr fontId="1"/>
  </si>
  <si>
    <t>システム移行直後の新機能の利用可能時期、過去データの扱いについて計画できているか</t>
    <phoneticPr fontId="1"/>
  </si>
  <si>
    <t>システム移行後直後の移行前データ(機能変更が入った箇所についての作業中データ)の考慮ができているか</t>
    <phoneticPr fontId="1"/>
  </si>
  <si>
    <t>他開発案件の影響がないことを確認できているか。</t>
    <phoneticPr fontId="1"/>
  </si>
  <si>
    <t>その他</t>
    <rPh sb="2" eb="3">
      <t>タ</t>
    </rPh>
    <phoneticPr fontId="1"/>
  </si>
  <si>
    <t>ITA実施環境での疎通確認が完了しているか
※事前に実機で環境を整えておくことが目的・・・ITAでは機能的な障害のみ発生するように</t>
    <phoneticPr fontId="1"/>
  </si>
  <si>
    <t>ITA、ITB実行するメンバー、スケジュールが具体化されているか</t>
    <rPh sb="23" eb="26">
      <t>グタイカ</t>
    </rPh>
    <phoneticPr fontId="1"/>
  </si>
  <si>
    <t>課題管理表をサマリーできているか(次の工程の確認観点に含める)</t>
    <rPh sb="17" eb="18">
      <t>ツギ</t>
    </rPh>
    <rPh sb="19" eb="21">
      <t>コウテイ</t>
    </rPh>
    <rPh sb="22" eb="26">
      <t>カクニンカンテン</t>
    </rPh>
    <rPh sb="27" eb="28">
      <t>フク</t>
    </rPh>
    <phoneticPr fontId="1"/>
  </si>
  <si>
    <t>UATの担当部署が明確になっているか</t>
    <phoneticPr fontId="1"/>
  </si>
  <si>
    <t>UAT計画を作成しているか</t>
    <phoneticPr fontId="1"/>
  </si>
  <si>
    <t>UAT実施スケジュールが明確になっているか</t>
    <phoneticPr fontId="1"/>
  </si>
  <si>
    <t>UAT実施概要説明のユーザー向けセッションが決定しているか</t>
    <rPh sb="3" eb="7">
      <t>ジッシガイヨウ</t>
    </rPh>
    <rPh sb="7" eb="9">
      <t>セツメイ</t>
    </rPh>
    <rPh sb="14" eb="15">
      <t>ム</t>
    </rPh>
    <rPh sb="22" eb="24">
      <t>ケッテイ</t>
    </rPh>
    <phoneticPr fontId="1"/>
  </si>
  <si>
    <t>移行リハーサルの計画ができているか</t>
    <rPh sb="0" eb="2">
      <t>イコウ</t>
    </rPh>
    <rPh sb="8" eb="10">
      <t>ケイカク</t>
    </rPh>
    <phoneticPr fontId="1"/>
  </si>
  <si>
    <t>UATリリース手順書の作成ができているか</t>
    <rPh sb="7" eb="10">
      <t>テジュンショ</t>
    </rPh>
    <rPh sb="11" eb="13">
      <t>サクセイ</t>
    </rPh>
    <phoneticPr fontId="1"/>
  </si>
  <si>
    <t>UATリリース資材は対象のフォルダに格納されているか</t>
    <rPh sb="7" eb="9">
      <t>シザイ</t>
    </rPh>
    <rPh sb="10" eb="12">
      <t>タイショウ</t>
    </rPh>
    <rPh sb="18" eb="20">
      <t>カクノウ</t>
    </rPh>
    <phoneticPr fontId="1"/>
  </si>
  <si>
    <t>UATで実行するNETの選定が完了しOPチーム(NET登録の依頼)と合意できているか</t>
    <rPh sb="30" eb="32">
      <t>イライ</t>
    </rPh>
    <phoneticPr fontId="1"/>
  </si>
  <si>
    <t>UATリリースの調整(タイムチャート、役割、切り戻し)がリリース関係者とできているか</t>
    <rPh sb="8" eb="10">
      <t>チョウセイ</t>
    </rPh>
    <rPh sb="32" eb="35">
      <t>カンケイシャ</t>
    </rPh>
    <phoneticPr fontId="1"/>
  </si>
  <si>
    <t>受入テスト計画で定義された「実施観点」の内容で準備が出来ているか</t>
    <rPh sb="23" eb="25">
      <t>ジュンビ</t>
    </rPh>
    <phoneticPr fontId="1"/>
  </si>
  <si>
    <t>UAT移行の準備に着手しているか</t>
    <rPh sb="6" eb="8">
      <t>ジュンビ</t>
    </rPh>
    <rPh sb="9" eb="11">
      <t>チャクシュ</t>
    </rPh>
    <phoneticPr fontId="1"/>
  </si>
  <si>
    <t>開発・UT工程で出た課題が解消されているかの確認ケースが含まれているか</t>
    <rPh sb="5" eb="7">
      <t>コウテイ</t>
    </rPh>
    <rPh sb="8" eb="9">
      <t>デ</t>
    </rPh>
    <rPh sb="10" eb="12">
      <t>カダイ</t>
    </rPh>
    <rPh sb="13" eb="15">
      <t>カイショウ</t>
    </rPh>
    <rPh sb="22" eb="24">
      <t>カクニン</t>
    </rPh>
    <rPh sb="28" eb="29">
      <t>フク</t>
    </rPh>
    <phoneticPr fontId="1"/>
  </si>
  <si>
    <t>※製造/UTが一括契約の場合
受入テスト計画で定義された「実施観点」の内容で準備が出来ているか</t>
    <rPh sb="1" eb="3">
      <t>セイゾウ</t>
    </rPh>
    <rPh sb="7" eb="9">
      <t>イッカツ</t>
    </rPh>
    <rPh sb="9" eb="11">
      <t>ケイヤク</t>
    </rPh>
    <rPh sb="12" eb="14">
      <t>バアイ</t>
    </rPh>
    <rPh sb="23" eb="25">
      <t>テイギ</t>
    </rPh>
    <rPh sb="29" eb="31">
      <t>ジッシ</t>
    </rPh>
    <rPh sb="31" eb="33">
      <t>カンテン</t>
    </rPh>
    <rPh sb="35" eb="37">
      <t>ナイヨウ</t>
    </rPh>
    <rPh sb="38" eb="40">
      <t>ジュンビ</t>
    </rPh>
    <rPh sb="41" eb="43">
      <t>デキ</t>
    </rPh>
    <phoneticPr fontId="1"/>
  </si>
  <si>
    <t>DB変更がある場合、DB変更のリリース(UAT/本番)が完了しているか</t>
    <rPh sb="2" eb="4">
      <t>ヘンコウ</t>
    </rPh>
    <rPh sb="7" eb="9">
      <t>バアイ</t>
    </rPh>
    <rPh sb="12" eb="14">
      <t>ヘンコウ</t>
    </rPh>
    <rPh sb="24" eb="26">
      <t>ホンバン</t>
    </rPh>
    <rPh sb="28" eb="30">
      <t>カンリョウ</t>
    </rPh>
    <phoneticPr fontId="1"/>
  </si>
  <si>
    <t>過去に発生したSplunkアラートの改修が開発対象に含まれているか</t>
    <rPh sb="0" eb="2">
      <t>カコ</t>
    </rPh>
    <rPh sb="3" eb="5">
      <t>ハッセイ</t>
    </rPh>
    <rPh sb="18" eb="20">
      <t>カイシュウ</t>
    </rPh>
    <rPh sb="21" eb="23">
      <t>カイハツ</t>
    </rPh>
    <rPh sb="23" eb="25">
      <t>タイショウ</t>
    </rPh>
    <rPh sb="26" eb="27">
      <t>フク</t>
    </rPh>
    <phoneticPr fontId="1"/>
  </si>
  <si>
    <t>IT受入れのテスト観点が明確になっているか
新商品受入時の観点としては
・３サイクルでのテストの準備が出来ている事
　１回目：環境一気通貫（データ戻し）
　２回目：データの観点のテスト（データ戻し）
　３回目：最終テスト（問題が無いことを確認するのみ　バグのポイントのみ）</t>
    <rPh sb="2" eb="4">
      <t>ウケイ</t>
    </rPh>
    <rPh sb="9" eb="10">
      <t>テン</t>
    </rPh>
    <rPh sb="12" eb="14">
      <t>メイカク</t>
    </rPh>
    <rPh sb="22" eb="25">
      <t>シンショウヒン</t>
    </rPh>
    <rPh sb="25" eb="28">
      <t>ウケイレジ</t>
    </rPh>
    <rPh sb="29" eb="31">
      <t>カンテン</t>
    </rPh>
    <phoneticPr fontId="1"/>
  </si>
  <si>
    <t>　※DDL変更がある場合のみ
DWH保守チームにリリース調整が完了しているか</t>
    <rPh sb="18" eb="20">
      <t>ホシュ</t>
    </rPh>
    <rPh sb="28" eb="30">
      <t>チョウセイ</t>
    </rPh>
    <rPh sb="31" eb="33">
      <t>カンリョウ</t>
    </rPh>
    <phoneticPr fontId="1"/>
  </si>
  <si>
    <t>IT受入れのテスト実施者が確定しているか</t>
    <rPh sb="9" eb="12">
      <t>ジッシシャ</t>
    </rPh>
    <rPh sb="13" eb="15">
      <t>カクテイ</t>
    </rPh>
    <phoneticPr fontId="1"/>
  </si>
  <si>
    <t>IT受入の観点でテストが実施出来ているか</t>
    <rPh sb="2" eb="4">
      <t>ウケイ</t>
    </rPh>
    <rPh sb="5" eb="6">
      <t>テン</t>
    </rPh>
    <rPh sb="11" eb="13">
      <t>ジッシ</t>
    </rPh>
    <rPh sb="13" eb="15">
      <t>デキ</t>
    </rPh>
    <phoneticPr fontId="1"/>
  </si>
  <si>
    <t>IT受入で使用したデータがUAT環境に残りっぱなしになっていないか
IT受入固有の各種設定をUAT環境用に変更し忘れていないか</t>
    <rPh sb="2" eb="4">
      <t>ウケイ</t>
    </rPh>
    <rPh sb="5" eb="7">
      <t>シヨウ</t>
    </rPh>
    <rPh sb="16" eb="18">
      <t>カンキョウ</t>
    </rPh>
    <rPh sb="19" eb="20">
      <t>ノコ</t>
    </rPh>
    <phoneticPr fontId="1"/>
  </si>
  <si>
    <t>本番リリース資材、本番リリース手順書の作成が完了しているか
リリース先　サーバー名、配置先、資材名、NET等</t>
    <phoneticPr fontId="1"/>
  </si>
  <si>
    <t>本番のリリーススケジュール(タイムチャート、役割、切り戻し、体制)が関係者と合意できているか</t>
    <rPh sb="0" eb="2">
      <t>ホンバン</t>
    </rPh>
    <rPh sb="30" eb="32">
      <t>タイセイ</t>
    </rPh>
    <phoneticPr fontId="1"/>
  </si>
  <si>
    <t>本番移行準備</t>
    <rPh sb="0" eb="2">
      <t>ホンバン</t>
    </rPh>
    <rPh sb="2" eb="4">
      <t>イコウ</t>
    </rPh>
    <rPh sb="4" eb="6">
      <t>ジュンビ</t>
    </rPh>
    <phoneticPr fontId="1"/>
  </si>
  <si>
    <t>UAT開始前</t>
    <rPh sb="3" eb="5">
      <t>カイシ</t>
    </rPh>
    <rPh sb="5" eb="6">
      <t>マエ</t>
    </rPh>
    <phoneticPr fontId="1"/>
  </si>
  <si>
    <t>移行リハーサルの実施日が確定しているか</t>
    <rPh sb="0" eb="2">
      <t>イコウ</t>
    </rPh>
    <rPh sb="8" eb="10">
      <t>ジッシ</t>
    </rPh>
    <rPh sb="10" eb="11">
      <t>ヒ</t>
    </rPh>
    <rPh sb="12" eb="14">
      <t>カクテイ</t>
    </rPh>
    <phoneticPr fontId="1"/>
  </si>
  <si>
    <t>移行失敗時のコンチプランや切り戻し判断のタイミングが決まっているか</t>
    <phoneticPr fontId="1"/>
  </si>
  <si>
    <t>本番リリースから稼働監視までのスケジュールが確定しているか</t>
    <rPh sb="0" eb="2">
      <t>ホンバン</t>
    </rPh>
    <rPh sb="8" eb="10">
      <t>カドウ</t>
    </rPh>
    <rPh sb="10" eb="12">
      <t>カンシ</t>
    </rPh>
    <rPh sb="22" eb="24">
      <t>カクテイ</t>
    </rPh>
    <phoneticPr fontId="1"/>
  </si>
  <si>
    <t>タイムチャートの作成ならびに読み合わせが完了しているか</t>
    <rPh sb="8" eb="10">
      <t>サクセイ</t>
    </rPh>
    <rPh sb="14" eb="15">
      <t>ヨ</t>
    </rPh>
    <rPh sb="16" eb="17">
      <t>ア</t>
    </rPh>
    <rPh sb="20" eb="22">
      <t>カンリョウ</t>
    </rPh>
    <phoneticPr fontId="1"/>
  </si>
  <si>
    <t>情報システム部としてのリリース体制が確定しているか</t>
    <rPh sb="0" eb="2">
      <t>ジョウホウ</t>
    </rPh>
    <rPh sb="6" eb="7">
      <t>ブ</t>
    </rPh>
    <rPh sb="15" eb="17">
      <t>タイセイ</t>
    </rPh>
    <rPh sb="18" eb="20">
      <t>カクテイ</t>
    </rPh>
    <phoneticPr fontId="1"/>
  </si>
  <si>
    <r>
      <rPr>
        <sz val="11"/>
        <rFont val="游ゴシック"/>
        <family val="3"/>
        <charset val="128"/>
        <scheme val="minor"/>
      </rPr>
      <t>下記内容が明記されているか</t>
    </r>
    <r>
      <rPr>
        <sz val="8"/>
        <rFont val="游ゴシック"/>
        <family val="3"/>
        <charset val="128"/>
        <scheme val="minor"/>
      </rPr>
      <t xml:space="preserve">
-----------------------------------------
・タスク（矢羽根や大まかなスケジュール）
・担当者（SBI生命、開発ベンダ、ユーザーが判明できるレベル）
・期日
・成果物
・ガントチャート
-----------------------------------------</t>
    </r>
    <rPh sb="85" eb="87">
      <t>セイメイ</t>
    </rPh>
    <rPh sb="88" eb="90">
      <t>カイハツ</t>
    </rPh>
    <rPh sb="99" eb="101">
      <t>ハンメイ</t>
    </rPh>
    <phoneticPr fontId="1"/>
  </si>
  <si>
    <t>UATデータを投入したテストが計画されているか
　実施観点：UATシナリオの実施、IT社員としての追加観点</t>
    <rPh sb="15" eb="17">
      <t>ケイカク</t>
    </rPh>
    <phoneticPr fontId="1"/>
  </si>
  <si>
    <t>PJ規模に応じて実施内容が計画されているか</t>
    <rPh sb="2" eb="4">
      <t>キボ</t>
    </rPh>
    <rPh sb="5" eb="6">
      <t>オウ</t>
    </rPh>
    <rPh sb="8" eb="10">
      <t>ジッシ</t>
    </rPh>
    <rPh sb="10" eb="12">
      <t>ナイヨウ</t>
    </rPh>
    <rPh sb="13" eb="15">
      <t>ケイカク</t>
    </rPh>
    <phoneticPr fontId="1"/>
  </si>
  <si>
    <t>IT受入で不具合が発覚した資材の管理が適切に行われているか
　資材の管理、UATリリース手順書への反映、本番リリース手順書への反映</t>
    <rPh sb="2" eb="4">
      <t>ウケイ</t>
    </rPh>
    <rPh sb="31" eb="33">
      <t>シザイ</t>
    </rPh>
    <rPh sb="34" eb="36">
      <t>カンリ</t>
    </rPh>
    <rPh sb="44" eb="47">
      <t>テジュンショ</t>
    </rPh>
    <rPh sb="49" eb="51">
      <t>ハンエイ</t>
    </rPh>
    <rPh sb="52" eb="54">
      <t>ホンバン</t>
    </rPh>
    <rPh sb="58" eb="61">
      <t>テジュンショ</t>
    </rPh>
    <rPh sb="63" eb="65">
      <t>ハンエイ</t>
    </rPh>
    <phoneticPr fontId="1"/>
  </si>
  <si>
    <t>スケジュールは詳細・精緻化されているか(定量的な報告が可能になっているか)</t>
    <rPh sb="7" eb="9">
      <t>ショウサイ</t>
    </rPh>
    <rPh sb="10" eb="13">
      <t>セイチカ</t>
    </rPh>
    <rPh sb="20" eb="23">
      <t>テイリョウテキ</t>
    </rPh>
    <rPh sb="24" eb="26">
      <t>ホウコク</t>
    </rPh>
    <rPh sb="27" eb="29">
      <t>カノウ</t>
    </rPh>
    <phoneticPr fontId="1"/>
  </si>
  <si>
    <t>必要な要件が全て網羅されているか(非機能要件、運用要件、他システム間I/F）</t>
    <phoneticPr fontId="1"/>
  </si>
  <si>
    <t>対象業務の業務フローが明確化できているか</t>
    <phoneticPr fontId="1"/>
  </si>
  <si>
    <t>機能変更内容が明確化できているか</t>
    <phoneticPr fontId="1"/>
  </si>
  <si>
    <t>約款、協定書の内容と乖離がないか、網羅できているか</t>
    <phoneticPr fontId="1"/>
  </si>
  <si>
    <t>対象利用者の洗い出しと確認ができているか</t>
    <phoneticPr fontId="1"/>
  </si>
  <si>
    <t>共通マスタをもとにコード・名称を設計しているか
　※システム固有の名称を合意できていれば問題なし</t>
    <phoneticPr fontId="1"/>
  </si>
  <si>
    <t>要件内容をすべて網羅して確認しているか</t>
    <phoneticPr fontId="1"/>
  </si>
  <si>
    <t>設計成果物(スコープ)が明確化されているか
　各システムカテゴリ単位(画面/帳票/IF/バッチ/DB etc)</t>
    <phoneticPr fontId="1"/>
  </si>
  <si>
    <t>外部システムとのIFの変更内容を確認して、設計できているか</t>
    <phoneticPr fontId="1"/>
  </si>
  <si>
    <t>スケジュールに変更はないか
変更がある場合、変更が完了しプロジェクト承認を得られているか</t>
    <rPh sb="7" eb="9">
      <t>ヘンコウ</t>
    </rPh>
    <rPh sb="14" eb="16">
      <t>ヘンコウ</t>
    </rPh>
    <rPh sb="19" eb="21">
      <t>バアイ</t>
    </rPh>
    <rPh sb="22" eb="24">
      <t>ヘンコウ</t>
    </rPh>
    <rPh sb="25" eb="27">
      <t>カンリョウ</t>
    </rPh>
    <rPh sb="34" eb="36">
      <t>ショウニン</t>
    </rPh>
    <rPh sb="37" eb="38">
      <t>エ</t>
    </rPh>
    <phoneticPr fontId="1"/>
  </si>
  <si>
    <t xml:space="preserve">PJ毎の契約に紐づく納品物が記載され、それら納品物がカテゴリーごとに設計されているか
　・DB設計(ER図、テーブルレイアウト、容量見積り、DDL文作成)
　・バッチ設計(処理概要フロー(NET)、バッチ処理フロー図、機能設計書)
　・オンライン設計(画面(IF)項目定義書、帳票項目定義書、機能設計書)
　・アミフィアブルの設計書(画面設計書)
　・アミフィアブルの環境準備
　・障害発生時の観点(IT運用設計)
</t>
    <rPh sb="2" eb="3">
      <t>ゴト</t>
    </rPh>
    <rPh sb="4" eb="6">
      <t>ケイヤク</t>
    </rPh>
    <rPh sb="7" eb="8">
      <t>ヒモ</t>
    </rPh>
    <rPh sb="10" eb="13">
      <t>ノウヒンブツ</t>
    </rPh>
    <rPh sb="14" eb="16">
      <t>キサイ</t>
    </rPh>
    <rPh sb="22" eb="25">
      <t>ノウヒンブツ</t>
    </rPh>
    <rPh sb="34" eb="36">
      <t>セッケイ</t>
    </rPh>
    <phoneticPr fontId="1"/>
  </si>
  <si>
    <t>設計書の一覧が作成されているか</t>
    <phoneticPr fontId="1"/>
  </si>
  <si>
    <t>テスト環境の準備がされているか
　・DEV準備：web、バッチ、dbsheet、データベース（Delphix）
　・UAT準備：web、バッチ、dbsheet、データベース（Delphix）、AAUTO
　・UAT環境を整える為の環境準備（LMIS、リリース手順書手順書　※モジュール以外）</t>
    <rPh sb="3" eb="5">
      <t>カンキョウ</t>
    </rPh>
    <rPh sb="6" eb="8">
      <t>ジュンビ</t>
    </rPh>
    <rPh sb="61" eb="63">
      <t>ジュンビ</t>
    </rPh>
    <rPh sb="107" eb="109">
      <t>カンキョウ</t>
    </rPh>
    <rPh sb="110" eb="111">
      <t>トトノ</t>
    </rPh>
    <rPh sb="113" eb="114">
      <t>タメ</t>
    </rPh>
    <rPh sb="129" eb="132">
      <t>テジュンショ</t>
    </rPh>
    <phoneticPr fontId="1"/>
  </si>
  <si>
    <t>DDL変更の有無を確認しているか
　変更がある場合は、変更理由がまとまっていること</t>
    <rPh sb="3" eb="5">
      <t>ヘンコウ</t>
    </rPh>
    <rPh sb="6" eb="8">
      <t>ウム</t>
    </rPh>
    <rPh sb="9" eb="11">
      <t>カクニン</t>
    </rPh>
    <rPh sb="18" eb="20">
      <t>ヘンコウ</t>
    </rPh>
    <rPh sb="23" eb="25">
      <t>バアイ</t>
    </rPh>
    <rPh sb="27" eb="29">
      <t>ヘンコウ</t>
    </rPh>
    <rPh sb="29" eb="31">
      <t>リユウ</t>
    </rPh>
    <phoneticPr fontId="1"/>
  </si>
  <si>
    <t>受入検証までにDB変更のUATリリースが完了する計画となっているか</t>
    <rPh sb="0" eb="2">
      <t>ウケイレ</t>
    </rPh>
    <rPh sb="2" eb="4">
      <t>ケンショウ</t>
    </rPh>
    <rPh sb="9" eb="11">
      <t>ヘンコウ</t>
    </rPh>
    <rPh sb="20" eb="22">
      <t>カンリョウ</t>
    </rPh>
    <rPh sb="24" eb="26">
      <t>ケイカク</t>
    </rPh>
    <phoneticPr fontId="1"/>
  </si>
  <si>
    <t>DB変更がクラウドにも影響がある場合、クラウド環境への変更適用の計画ができているか</t>
    <rPh sb="2" eb="4">
      <t>ヘンコウ</t>
    </rPh>
    <rPh sb="11" eb="13">
      <t>エイキョウ</t>
    </rPh>
    <rPh sb="16" eb="18">
      <t>バアイ</t>
    </rPh>
    <rPh sb="23" eb="25">
      <t>カンキョウ</t>
    </rPh>
    <rPh sb="27" eb="29">
      <t>ヘンコウ</t>
    </rPh>
    <rPh sb="29" eb="31">
      <t>テキヨウ</t>
    </rPh>
    <rPh sb="32" eb="34">
      <t>ケイカク</t>
    </rPh>
    <phoneticPr fontId="1"/>
  </si>
  <si>
    <t>担当社員との資源管理に関するルールが定められており、認識を合わせているか</t>
    <rPh sb="0" eb="4">
      <t>タントウシャイン</t>
    </rPh>
    <rPh sb="6" eb="10">
      <t>シゲンカンリ</t>
    </rPh>
    <rPh sb="11" eb="12">
      <t>カン</t>
    </rPh>
    <rPh sb="18" eb="19">
      <t>サダ</t>
    </rPh>
    <rPh sb="26" eb="28">
      <t>ニンシキ</t>
    </rPh>
    <rPh sb="29" eb="30">
      <t>ア</t>
    </rPh>
    <phoneticPr fontId="1"/>
  </si>
  <si>
    <t>開発・UTの課題管理の手法が明確になっているか</t>
    <rPh sb="0" eb="2">
      <t>カイハツ</t>
    </rPh>
    <rPh sb="6" eb="10">
      <t>カダイカンリ</t>
    </rPh>
    <rPh sb="11" eb="13">
      <t>シュホウ</t>
    </rPh>
    <rPh sb="14" eb="16">
      <t>メイカク</t>
    </rPh>
    <phoneticPr fontId="1"/>
  </si>
  <si>
    <t>開発・UTの工程内部で次工程のテスト環境での疎通確認実施を認識しているか</t>
    <rPh sb="0" eb="2">
      <t>カイハツ</t>
    </rPh>
    <rPh sb="6" eb="8">
      <t>コウテイ</t>
    </rPh>
    <rPh sb="8" eb="10">
      <t>ナイブ</t>
    </rPh>
    <rPh sb="11" eb="14">
      <t>ジコウテイ</t>
    </rPh>
    <rPh sb="18" eb="20">
      <t>カンキョウ</t>
    </rPh>
    <rPh sb="22" eb="24">
      <t>ソツウ</t>
    </rPh>
    <rPh sb="24" eb="26">
      <t>カクニン</t>
    </rPh>
    <rPh sb="26" eb="28">
      <t>ジッシ</t>
    </rPh>
    <rPh sb="29" eb="31">
      <t>ニンシキ</t>
    </rPh>
    <phoneticPr fontId="1"/>
  </si>
  <si>
    <t>外部設計で作成した設計一覧に記載されている資材を全量として、テスト結果が漏れなく格納されているか
(契約に準ずる)</t>
    <rPh sb="5" eb="7">
      <t>サクセイ</t>
    </rPh>
    <rPh sb="9" eb="11">
      <t>セッケイ</t>
    </rPh>
    <rPh sb="11" eb="13">
      <t>イチラン</t>
    </rPh>
    <rPh sb="14" eb="16">
      <t>キサイ</t>
    </rPh>
    <rPh sb="21" eb="23">
      <t>シザイ</t>
    </rPh>
    <rPh sb="24" eb="26">
      <t>ゼンリョウ</t>
    </rPh>
    <rPh sb="33" eb="35">
      <t>ケッカ</t>
    </rPh>
    <rPh sb="36" eb="37">
      <t>モ</t>
    </rPh>
    <rPh sb="40" eb="42">
      <t>カクノウ</t>
    </rPh>
    <rPh sb="50" eb="52">
      <t>ケイヤク</t>
    </rPh>
    <rPh sb="53" eb="54">
      <t>ジュン</t>
    </rPh>
    <phoneticPr fontId="1"/>
  </si>
  <si>
    <t>開発資材の一覧が作成されているか
資材の種類は網羅されているか(リリース先　サーバー名、配置先、資材名、NET等)</t>
    <rPh sb="0" eb="2">
      <t>カイハツ</t>
    </rPh>
    <rPh sb="2" eb="4">
      <t>シザイ</t>
    </rPh>
    <rPh sb="5" eb="7">
      <t>イチラン</t>
    </rPh>
    <rPh sb="8" eb="10">
      <t>サクセイ</t>
    </rPh>
    <rPh sb="17" eb="19">
      <t>シザイ</t>
    </rPh>
    <rPh sb="20" eb="22">
      <t>シュルイ</t>
    </rPh>
    <rPh sb="23" eb="25">
      <t>モウラ</t>
    </rPh>
    <rPh sb="36" eb="37">
      <t>サキ</t>
    </rPh>
    <rPh sb="42" eb="43">
      <t>メイ</t>
    </rPh>
    <rPh sb="44" eb="46">
      <t>ハイチ</t>
    </rPh>
    <rPh sb="46" eb="47">
      <t>サキ</t>
    </rPh>
    <rPh sb="48" eb="51">
      <t>シザイメイ</t>
    </rPh>
    <rPh sb="55" eb="56">
      <t>ナド</t>
    </rPh>
    <phoneticPr fontId="1"/>
  </si>
  <si>
    <t>ITBに向けた段取り確認ができているか</t>
    <rPh sb="4" eb="5">
      <t>ム</t>
    </rPh>
    <rPh sb="7" eb="9">
      <t>ダンド</t>
    </rPh>
    <rPh sb="10" eb="12">
      <t>カクニン</t>
    </rPh>
    <phoneticPr fontId="1"/>
  </si>
  <si>
    <t>・必要データを投入したテスト準備ができているか
　実施観点：UATシナリオの実施、IT社員としての追加観点</t>
    <rPh sb="1" eb="3">
      <t>ヒツヨウ</t>
    </rPh>
    <rPh sb="14" eb="16">
      <t>ジュンビ</t>
    </rPh>
    <phoneticPr fontId="1"/>
  </si>
  <si>
    <t>・３サイクルでのテストの準備が出来ているか
　１回目：環境一気通貫（データ戻し）
　２回目：データの観点のテスト（データ戻し）
　３回目：最終テスト（問題が無いことを確認するのみ　バグのポイントのみ）
※新商品開発時に適用。大規模プロジェクトの場合は当項目は適用する。</t>
    <rPh sb="12" eb="14">
      <t>ジュンビ</t>
    </rPh>
    <rPh sb="15" eb="17">
      <t>デキ</t>
    </rPh>
    <rPh sb="102" eb="105">
      <t>シンショウヒン</t>
    </rPh>
    <rPh sb="105" eb="107">
      <t>カイハツ</t>
    </rPh>
    <rPh sb="107" eb="108">
      <t>ジ</t>
    </rPh>
    <rPh sb="109" eb="111">
      <t>テキヨウ</t>
    </rPh>
    <rPh sb="112" eb="115">
      <t>ダイキボ</t>
    </rPh>
    <rPh sb="122" eb="124">
      <t>バアイ</t>
    </rPh>
    <rPh sb="125" eb="126">
      <t>トウ</t>
    </rPh>
    <rPh sb="126" eb="128">
      <t>コウモク</t>
    </rPh>
    <rPh sb="129" eb="131">
      <t>テキヨウ</t>
    </rPh>
    <phoneticPr fontId="1"/>
  </si>
  <si>
    <t>DDL変更の有無を確認しているか
　変更がある場合は、変更理由がまとまっていること
　※UAT時点で変更があると判明した場合はDDL変更の３項目を即時対応すること</t>
    <rPh sb="3" eb="5">
      <t>ヘンコウ</t>
    </rPh>
    <rPh sb="6" eb="8">
      <t>ウム</t>
    </rPh>
    <rPh sb="9" eb="11">
      <t>カクニン</t>
    </rPh>
    <rPh sb="18" eb="20">
      <t>ヘンコウ</t>
    </rPh>
    <rPh sb="23" eb="25">
      <t>バアイ</t>
    </rPh>
    <rPh sb="27" eb="29">
      <t>ヘンコウ</t>
    </rPh>
    <rPh sb="29" eb="31">
      <t>リユウ</t>
    </rPh>
    <rPh sb="47" eb="49">
      <t>ジテン</t>
    </rPh>
    <rPh sb="50" eb="52">
      <t>ヘンコウ</t>
    </rPh>
    <rPh sb="56" eb="58">
      <t>ハンメイ</t>
    </rPh>
    <rPh sb="60" eb="62">
      <t>バアイ</t>
    </rPh>
    <rPh sb="66" eb="68">
      <t>ヘンコウ</t>
    </rPh>
    <rPh sb="70" eb="72">
      <t>コウモク</t>
    </rPh>
    <rPh sb="73" eb="77">
      <t>ソクジタイオウ</t>
    </rPh>
    <phoneticPr fontId="1"/>
  </si>
  <si>
    <t>　※DDL変更がある場合のみ
関連する資材の修正が完了しているか</t>
    <rPh sb="15" eb="17">
      <t>カンレン</t>
    </rPh>
    <rPh sb="19" eb="21">
      <t>シザイ</t>
    </rPh>
    <rPh sb="22" eb="24">
      <t>シュウセイ</t>
    </rPh>
    <rPh sb="25" eb="27">
      <t>カンリョウ</t>
    </rPh>
    <phoneticPr fontId="1"/>
  </si>
  <si>
    <t>サインオフ</t>
    <phoneticPr fontId="1"/>
  </si>
  <si>
    <t>ユーザー部署からのサインオフ受領の段取りはできているか。</t>
    <rPh sb="4" eb="6">
      <t>ブショ</t>
    </rPh>
    <rPh sb="14" eb="16">
      <t>ジュリョウ</t>
    </rPh>
    <rPh sb="17" eb="19">
      <t>ダンド</t>
    </rPh>
    <phoneticPr fontId="1"/>
  </si>
  <si>
    <t>リリース手順書の手順の中で開発課へ動作確認依頼をするポイントが明記されているか</t>
    <rPh sb="11" eb="12">
      <t>ナカ</t>
    </rPh>
    <rPh sb="31" eb="33">
      <t>メイキ</t>
    </rPh>
    <phoneticPr fontId="1"/>
  </si>
  <si>
    <t>案件終了時</t>
    <rPh sb="0" eb="2">
      <t>アンケン</t>
    </rPh>
    <rPh sb="2" eb="4">
      <t>シュウリョウ</t>
    </rPh>
    <rPh sb="4" eb="5">
      <t>ジ</t>
    </rPh>
    <phoneticPr fontId="1"/>
  </si>
  <si>
    <t>サーバインベントリー</t>
    <phoneticPr fontId="1"/>
  </si>
  <si>
    <t>新規のサーバを構築した場合、サーバインベントリーに構築したサーバを追記しているか。または、変更や廃棄を行った場合、記載内容の変更がされているか。</t>
    <rPh sb="0" eb="2">
      <t>シンキ</t>
    </rPh>
    <rPh sb="7" eb="9">
      <t>コウチク</t>
    </rPh>
    <rPh sb="11" eb="13">
      <t>バアイ</t>
    </rPh>
    <rPh sb="25" eb="27">
      <t>コウチク</t>
    </rPh>
    <rPh sb="33" eb="35">
      <t>ツイキ</t>
    </rPh>
    <rPh sb="45" eb="47">
      <t>ヘンコウ</t>
    </rPh>
    <rPh sb="48" eb="50">
      <t>ハイキ</t>
    </rPh>
    <rPh sb="51" eb="52">
      <t>オコナ</t>
    </rPh>
    <rPh sb="54" eb="56">
      <t>バアイ</t>
    </rPh>
    <rPh sb="57" eb="61">
      <t>キサイナイヨウ</t>
    </rPh>
    <rPh sb="62" eb="64">
      <t>ヘンコウ</t>
    </rPh>
    <phoneticPr fontId="1"/>
  </si>
  <si>
    <t>ラックインベントリー</t>
    <phoneticPr fontId="1"/>
  </si>
  <si>
    <t>新規のサーバをマウントした場合、ラックインベントリーにマウントしたサーバを追記しているか。または、移動や廃棄を行った場合、記載内容の変更がされているか。</t>
    <rPh sb="0" eb="2">
      <t>シンキ</t>
    </rPh>
    <rPh sb="13" eb="15">
      <t>バアイ</t>
    </rPh>
    <rPh sb="36" eb="38">
      <t>ツイキ</t>
    </rPh>
    <rPh sb="49" eb="51">
      <t>イドウ</t>
    </rPh>
    <rPh sb="52" eb="54">
      <t>ハイキ</t>
    </rPh>
    <rPh sb="54" eb="55">
      <t>オコナ</t>
    </rPh>
    <rPh sb="57" eb="59">
      <t>バアイ</t>
    </rPh>
    <rPh sb="60" eb="64">
      <t>キサイナイヨウ</t>
    </rPh>
    <rPh sb="65" eb="67">
      <t>ヘンコウ</t>
    </rPh>
    <phoneticPr fontId="1"/>
  </si>
  <si>
    <t>ネットワークインベントリー</t>
    <phoneticPr fontId="1"/>
  </si>
  <si>
    <t>新規のネットワークを構築した場合、ネットワークインベントリーに小袿したネットワークを追記しているか。または、変更を行った場合、記載内容の変更がされているか</t>
    <rPh sb="0" eb="2">
      <t>シンキ</t>
    </rPh>
    <rPh sb="10" eb="12">
      <t>コウチク</t>
    </rPh>
    <rPh sb="14" eb="16">
      <t>バアイ</t>
    </rPh>
    <rPh sb="31" eb="33">
      <t>コウチキ</t>
    </rPh>
    <rPh sb="42" eb="44">
      <t>ツイキ</t>
    </rPh>
    <rPh sb="54" eb="56">
      <t>ヘンコウ</t>
    </rPh>
    <rPh sb="57" eb="58">
      <t>オコナ</t>
    </rPh>
    <rPh sb="60" eb="62">
      <t>バアイ</t>
    </rPh>
    <rPh sb="63" eb="67">
      <t>キサイナイヨウ</t>
    </rPh>
    <rPh sb="68" eb="70">
      <t>ヘンコウ</t>
    </rPh>
    <phoneticPr fontId="1"/>
  </si>
  <si>
    <t>会議招集</t>
    <rPh sb="0" eb="2">
      <t>カイギ</t>
    </rPh>
    <rPh sb="2" eb="4">
      <t>ショウシュウ</t>
    </rPh>
    <phoneticPr fontId="1"/>
  </si>
  <si>
    <t>プロセスゲートの会議招集がすべて完了しているか</t>
    <rPh sb="8" eb="12">
      <t>カイギショウシュウ</t>
    </rPh>
    <rPh sb="16" eb="18">
      <t>カンリョウ</t>
    </rPh>
    <phoneticPr fontId="1"/>
  </si>
  <si>
    <t>新規のシステムを作成した場合、バッチを追加した場合に、アプリケーションリスト（LMISセールスフォースのサービス）やバッチシステム一覧に追加したシステムまたはバッチ処理を追記しているか</t>
    <rPh sb="0" eb="2">
      <t>シンキ</t>
    </rPh>
    <rPh sb="8" eb="10">
      <t>サクセイ</t>
    </rPh>
    <rPh sb="12" eb="14">
      <t>バアイ</t>
    </rPh>
    <rPh sb="19" eb="21">
      <t>ツイカ</t>
    </rPh>
    <rPh sb="23" eb="25">
      <t>バアイ</t>
    </rPh>
    <rPh sb="65" eb="67">
      <t>イチラン</t>
    </rPh>
    <rPh sb="68" eb="70">
      <t>ツイカ</t>
    </rPh>
    <rPh sb="82" eb="84">
      <t>ショリ</t>
    </rPh>
    <rPh sb="85" eb="87">
      <t>ツイキ</t>
    </rPh>
    <phoneticPr fontId="1"/>
  </si>
  <si>
    <t>アプリケーション（LMISセールスフォース）リスト、
バッチシステム一覧</t>
    <rPh sb="34" eb="36">
      <t>イチラン</t>
    </rPh>
    <phoneticPr fontId="1"/>
  </si>
  <si>
    <t>当該フェーズプロセスゲートの承認者が確定されているか（担当社員 or 課長 or 部長）</t>
    <rPh sb="0" eb="2">
      <t>トウガイ</t>
    </rPh>
    <rPh sb="14" eb="17">
      <t>ショウニンシャ</t>
    </rPh>
    <rPh sb="18" eb="20">
      <t>カクテイ</t>
    </rPh>
    <rPh sb="27" eb="31">
      <t>タントウシャイン</t>
    </rPh>
    <rPh sb="35" eb="37">
      <t>カチョウ</t>
    </rPh>
    <rPh sb="41" eb="43">
      <t>ブチョウ</t>
    </rPh>
    <phoneticPr fontId="1"/>
  </si>
  <si>
    <t>プロセスゲート</t>
    <phoneticPr fontId="1"/>
  </si>
  <si>
    <t>AWSコスト見積もり（変更点報告）</t>
    <rPh sb="6" eb="8">
      <t>ミツ</t>
    </rPh>
    <rPh sb="11" eb="13">
      <t>ヘンコウ</t>
    </rPh>
    <rPh sb="13" eb="14">
      <t>テン</t>
    </rPh>
    <rPh sb="14" eb="16">
      <t>ホウコク</t>
    </rPh>
    <phoneticPr fontId="1"/>
  </si>
  <si>
    <t>AWS　環境の掃除（後始末）</t>
    <rPh sb="4" eb="6">
      <t>カンキョウ</t>
    </rPh>
    <rPh sb="7" eb="9">
      <t>ソウジ</t>
    </rPh>
    <rPh sb="10" eb="13">
      <t>アトシマツ</t>
    </rPh>
    <phoneticPr fontId="1"/>
  </si>
  <si>
    <t>要件定義工程で提出済みのAWSのコスト見積もりに変更がある場合は
変更部分に対する見積もりを再度実施しサービスデリバリー課に提出済みであること</t>
    <rPh sb="0" eb="4">
      <t>ヨウケンテイギ</t>
    </rPh>
    <rPh sb="4" eb="6">
      <t>コウテイ</t>
    </rPh>
    <rPh sb="7" eb="10">
      <t>テイシュツズ</t>
    </rPh>
    <rPh sb="19" eb="21">
      <t>ミツ</t>
    </rPh>
    <rPh sb="24" eb="26">
      <t>ヘンコウ</t>
    </rPh>
    <rPh sb="29" eb="31">
      <t>バアイ</t>
    </rPh>
    <rPh sb="33" eb="37">
      <t>ヘンコウブブン</t>
    </rPh>
    <rPh sb="38" eb="39">
      <t>タイ</t>
    </rPh>
    <rPh sb="41" eb="43">
      <t>ミツ</t>
    </rPh>
    <rPh sb="46" eb="48">
      <t>サイド</t>
    </rPh>
    <rPh sb="48" eb="50">
      <t>ジッシ</t>
    </rPh>
    <rPh sb="60" eb="61">
      <t>カ</t>
    </rPh>
    <rPh sb="62" eb="65">
      <t>テイシュツズ</t>
    </rPh>
    <phoneticPr fontId="1"/>
  </si>
  <si>
    <t>開発・UTで利用したAWS環境の掃除を行い環境に関わる課金が行われないように対策済みであること</t>
    <rPh sb="6" eb="8">
      <t>リヨウ</t>
    </rPh>
    <rPh sb="13" eb="15">
      <t>カンキョウ</t>
    </rPh>
    <rPh sb="16" eb="18">
      <t>ソウジ</t>
    </rPh>
    <rPh sb="19" eb="20">
      <t>オコナ</t>
    </rPh>
    <rPh sb="21" eb="23">
      <t>カンキョウ</t>
    </rPh>
    <rPh sb="24" eb="25">
      <t>カカ</t>
    </rPh>
    <rPh sb="27" eb="29">
      <t>カキン</t>
    </rPh>
    <rPh sb="30" eb="31">
      <t>オコナ</t>
    </rPh>
    <rPh sb="38" eb="40">
      <t>タイサク</t>
    </rPh>
    <rPh sb="40" eb="41">
      <t>ズ</t>
    </rPh>
    <phoneticPr fontId="1"/>
  </si>
  <si>
    <t>Itbで利用したAWS環境の掃除を行い環境に関わる課金が行われないように対策済みであること</t>
    <rPh sb="4" eb="6">
      <t>リヨウ</t>
    </rPh>
    <rPh sb="11" eb="13">
      <t>カンキョウ</t>
    </rPh>
    <rPh sb="14" eb="16">
      <t>ソウジ</t>
    </rPh>
    <rPh sb="17" eb="18">
      <t>オコナ</t>
    </rPh>
    <rPh sb="19" eb="21">
      <t>カンキョウ</t>
    </rPh>
    <rPh sb="22" eb="23">
      <t>カカ</t>
    </rPh>
    <rPh sb="25" eb="27">
      <t>カキン</t>
    </rPh>
    <rPh sb="28" eb="29">
      <t>オコナ</t>
    </rPh>
    <rPh sb="36" eb="38">
      <t>タイサク</t>
    </rPh>
    <rPh sb="38" eb="39">
      <t>ズ</t>
    </rPh>
    <phoneticPr fontId="1"/>
  </si>
  <si>
    <t>IT受入で利用したAWS環境の掃除を行い環境に関わる課金が行われないように対策済みであること</t>
    <rPh sb="5" eb="7">
      <t>リヨウ</t>
    </rPh>
    <rPh sb="12" eb="14">
      <t>カンキョウ</t>
    </rPh>
    <rPh sb="15" eb="17">
      <t>ソウジ</t>
    </rPh>
    <rPh sb="18" eb="19">
      <t>オコナ</t>
    </rPh>
    <rPh sb="20" eb="22">
      <t>カンキョウ</t>
    </rPh>
    <rPh sb="23" eb="24">
      <t>カカ</t>
    </rPh>
    <rPh sb="26" eb="28">
      <t>カキン</t>
    </rPh>
    <rPh sb="29" eb="30">
      <t>オコナ</t>
    </rPh>
    <rPh sb="37" eb="39">
      <t>タイサク</t>
    </rPh>
    <rPh sb="39" eb="40">
      <t>ズ</t>
    </rPh>
    <phoneticPr fontId="1"/>
  </si>
  <si>
    <t>UATで利用したAWS環境の掃除を行い環境に関わる課金が行われないように対策済みであること</t>
    <rPh sb="4" eb="6">
      <t>リヨウ</t>
    </rPh>
    <rPh sb="11" eb="13">
      <t>カンキョウ</t>
    </rPh>
    <rPh sb="14" eb="16">
      <t>ソウジ</t>
    </rPh>
    <rPh sb="17" eb="18">
      <t>オコナ</t>
    </rPh>
    <rPh sb="19" eb="21">
      <t>カンキョウ</t>
    </rPh>
    <rPh sb="22" eb="23">
      <t>カカ</t>
    </rPh>
    <rPh sb="25" eb="27">
      <t>カキン</t>
    </rPh>
    <rPh sb="28" eb="29">
      <t>オコナ</t>
    </rPh>
    <rPh sb="36" eb="38">
      <t>タイサク</t>
    </rPh>
    <rPh sb="38" eb="39">
      <t>ズ</t>
    </rPh>
    <phoneticPr fontId="1"/>
  </si>
  <si>
    <t>プロジェクト品質チェックポイント</t>
    <rPh sb="6" eb="8">
      <t>ヒンシツ</t>
    </rPh>
    <phoneticPr fontId="14"/>
  </si>
  <si>
    <t>チェックシート</t>
    <phoneticPr fontId="10"/>
  </si>
  <si>
    <t>作成日</t>
  </si>
  <si>
    <t>Make date</t>
  </si>
  <si>
    <t>作成者</t>
    <rPh sb="2" eb="3">
      <t>シャ</t>
    </rPh>
    <phoneticPr fontId="14"/>
  </si>
  <si>
    <t>MO</t>
    <phoneticPr fontId="14"/>
  </si>
  <si>
    <t>Name</t>
  </si>
  <si>
    <t>版番号</t>
    <rPh sb="0" eb="1">
      <t>ハン</t>
    </rPh>
    <rPh sb="1" eb="3">
      <t>バンゴウ</t>
    </rPh>
    <phoneticPr fontId="14"/>
  </si>
  <si>
    <t>Version</t>
    <phoneticPr fontId="14"/>
  </si>
  <si>
    <t>改版履歴</t>
    <rPh sb="0" eb="2">
      <t>カイハン</t>
    </rPh>
    <rPh sb="2" eb="4">
      <t>リレキ</t>
    </rPh>
    <phoneticPr fontId="10"/>
  </si>
  <si>
    <t>日付</t>
    <rPh sb="0" eb="2">
      <t>ヒヅケ</t>
    </rPh>
    <phoneticPr fontId="14"/>
  </si>
  <si>
    <t>Ver</t>
    <phoneticPr fontId="14"/>
  </si>
  <si>
    <t>変更内容</t>
    <rPh sb="0" eb="2">
      <t>ヘンコウ</t>
    </rPh>
    <rPh sb="2" eb="4">
      <t>ナイヨウ</t>
    </rPh>
    <phoneticPr fontId="14"/>
  </si>
  <si>
    <t>ver1.0</t>
    <phoneticPr fontId="14"/>
  </si>
  <si>
    <t>新規作成</t>
    <rPh sb="0" eb="2">
      <t>シンキ</t>
    </rPh>
    <rPh sb="2" eb="4">
      <t>サクセイ</t>
    </rPh>
    <phoneticPr fontId="14"/>
  </si>
  <si>
    <t>＜全体目的＞</t>
    <rPh sb="1" eb="3">
      <t>ゼンタイ</t>
    </rPh>
    <rPh sb="3" eb="5">
      <t>モクテキ</t>
    </rPh>
    <phoneticPr fontId="1"/>
  </si>
  <si>
    <t>＜プロセスチェックの概要＞</t>
    <rPh sb="10" eb="12">
      <t>ガイヨウ</t>
    </rPh>
    <phoneticPr fontId="1"/>
  </si>
  <si>
    <r>
      <t>　　　⇒各工程の</t>
    </r>
    <r>
      <rPr>
        <u/>
        <sz val="11"/>
        <color rgb="FF0070C0"/>
        <rFont val="メイリオ"/>
        <family val="3"/>
        <charset val="128"/>
      </rPr>
      <t>開始時</t>
    </r>
    <rPh sb="4" eb="7">
      <t>カクコウテイ</t>
    </rPh>
    <rPh sb="8" eb="10">
      <t>カイシ</t>
    </rPh>
    <rPh sb="10" eb="11">
      <t>ジ</t>
    </rPh>
    <phoneticPr fontId="1"/>
  </si>
  <si>
    <r>
      <t>　　　⇒各工程の</t>
    </r>
    <r>
      <rPr>
        <u/>
        <sz val="11"/>
        <color rgb="FF0070C0"/>
        <rFont val="メイリオ"/>
        <family val="3"/>
        <charset val="128"/>
      </rPr>
      <t>終了時の1週間前</t>
    </r>
    <rPh sb="4" eb="7">
      <t>カクコウテイ</t>
    </rPh>
    <rPh sb="8" eb="10">
      <t>シュウリョウ</t>
    </rPh>
    <rPh sb="10" eb="11">
      <t>ジ</t>
    </rPh>
    <rPh sb="13" eb="15">
      <t>シュウカン</t>
    </rPh>
    <rPh sb="15" eb="16">
      <t>マエ</t>
    </rPh>
    <phoneticPr fontId="1"/>
  </si>
  <si>
    <t>【担当者チェック】</t>
    <phoneticPr fontId="1"/>
  </si>
  <si>
    <t>【管理者チェック】</t>
    <phoneticPr fontId="1"/>
  </si>
  <si>
    <t>実施タイミング</t>
    <phoneticPr fontId="1"/>
  </si>
  <si>
    <r>
      <rPr>
        <u/>
        <sz val="9"/>
        <color theme="1"/>
        <rFont val="メイリオ"/>
        <family val="3"/>
        <charset val="128"/>
      </rPr>
      <t>①各フェーズ対応開始直後(管理者チェック前)
②フェーズ終了1週間前(管理者チェック前)</t>
    </r>
    <r>
      <rPr>
        <sz val="9"/>
        <color theme="1"/>
        <rFont val="メイリオ"/>
        <family val="3"/>
        <charset val="128"/>
      </rPr>
      <t xml:space="preserve">
をめどに開催予定</t>
    </r>
    <rPh sb="1" eb="2">
      <t>カク</t>
    </rPh>
    <rPh sb="6" eb="8">
      <t>タイオウ</t>
    </rPh>
    <rPh sb="8" eb="10">
      <t>カイシ</t>
    </rPh>
    <rPh sb="10" eb="12">
      <t>チョクゴ</t>
    </rPh>
    <rPh sb="13" eb="16">
      <t>カンリシャ</t>
    </rPh>
    <rPh sb="20" eb="21">
      <t>マエ</t>
    </rPh>
    <rPh sb="28" eb="30">
      <t>シュウリョウ</t>
    </rPh>
    <rPh sb="31" eb="33">
      <t>シュウカン</t>
    </rPh>
    <rPh sb="33" eb="34">
      <t>マエ</t>
    </rPh>
    <rPh sb="35" eb="38">
      <t>カンリシャ</t>
    </rPh>
    <rPh sb="42" eb="43">
      <t>マエ</t>
    </rPh>
    <rPh sb="49" eb="51">
      <t>カイサイ</t>
    </rPh>
    <rPh sb="51" eb="53">
      <t>ヨテイ</t>
    </rPh>
    <phoneticPr fontId="1"/>
  </si>
  <si>
    <r>
      <rPr>
        <u/>
        <sz val="9"/>
        <color theme="1"/>
        <rFont val="メイリオ"/>
        <family val="3"/>
        <charset val="128"/>
      </rPr>
      <t xml:space="preserve">①各フェーズ対応開始直後(担当者チェック後)
②各フェーズ終了1週間前(担当者チェック後)
</t>
    </r>
    <r>
      <rPr>
        <sz val="9"/>
        <color theme="1"/>
        <rFont val="メイリオ"/>
        <family val="3"/>
        <charset val="128"/>
      </rPr>
      <t>をめどに開催予定</t>
    </r>
    <rPh sb="10" eb="12">
      <t>チョクゴ</t>
    </rPh>
    <rPh sb="24" eb="25">
      <t>カク</t>
    </rPh>
    <rPh sb="29" eb="31">
      <t>シュウリョウ</t>
    </rPh>
    <rPh sb="32" eb="34">
      <t>シュウカン</t>
    </rPh>
    <rPh sb="36" eb="39">
      <t>タントウシャ</t>
    </rPh>
    <rPh sb="43" eb="44">
      <t>ゴ</t>
    </rPh>
    <phoneticPr fontId="1"/>
  </si>
  <si>
    <t>ファシリテート</t>
    <phoneticPr fontId="1"/>
  </si>
  <si>
    <t>-</t>
    <phoneticPr fontId="1"/>
  </si>
  <si>
    <t>参加者</t>
    <rPh sb="0" eb="3">
      <t>サンカシャ</t>
    </rPh>
    <phoneticPr fontId="1"/>
  </si>
  <si>
    <t>議事録作成</t>
    <phoneticPr fontId="1"/>
  </si>
  <si>
    <t>実施内容</t>
    <rPh sb="0" eb="2">
      <t>ジッシ</t>
    </rPh>
    <phoneticPr fontId="1"/>
  </si>
  <si>
    <t>・チェックシートを確認の上、チェック
・チェックシートに各チェック項目の説明を記載</t>
    <rPh sb="9" eb="11">
      <t>カクニン</t>
    </rPh>
    <rPh sb="12" eb="13">
      <t>ウエ</t>
    </rPh>
    <rPh sb="28" eb="29">
      <t>カク</t>
    </rPh>
    <rPh sb="33" eb="35">
      <t>コウモク</t>
    </rPh>
    <rPh sb="36" eb="38">
      <t>セツメイ</t>
    </rPh>
    <rPh sb="39" eb="41">
      <t>キサイ</t>
    </rPh>
    <phoneticPr fontId="1"/>
  </si>
  <si>
    <t>・各社フェーズの対応結果報告
　WBSやフェーズ成果物の確認</t>
    <rPh sb="8" eb="10">
      <t>タイオウ</t>
    </rPh>
    <rPh sb="10" eb="12">
      <t>ケッカ</t>
    </rPh>
    <rPh sb="12" eb="14">
      <t>ホウコク</t>
    </rPh>
    <phoneticPr fontId="1"/>
  </si>
  <si>
    <t>ベンダリーダ</t>
    <phoneticPr fontId="1"/>
  </si>
  <si>
    <t>担当社員</t>
    <rPh sb="0" eb="4">
      <t>タントウシャイン</t>
    </rPh>
    <phoneticPr fontId="1"/>
  </si>
  <si>
    <t>プロジェクト規模に応じて決定</t>
    <rPh sb="6" eb="8">
      <t>キボ</t>
    </rPh>
    <rPh sb="9" eb="10">
      <t>オウ</t>
    </rPh>
    <rPh sb="12" eb="14">
      <t>ケッテイ</t>
    </rPh>
    <phoneticPr fontId="1"/>
  </si>
  <si>
    <t>担当社員</t>
    <rPh sb="0" eb="2">
      <t>タントウ</t>
    </rPh>
    <rPh sb="2" eb="4">
      <t>シャイン</t>
    </rPh>
    <phoneticPr fontId="1"/>
  </si>
  <si>
    <t>以上</t>
    <rPh sb="0" eb="2">
      <t>イジョウ</t>
    </rPh>
    <phoneticPr fontId="1"/>
  </si>
  <si>
    <t>AWSを利用するシステムについてコスト見積もりを実施しサービスデリバリー課に提出済みか。</t>
    <rPh sb="4" eb="6">
      <t>リヨウ</t>
    </rPh>
    <rPh sb="19" eb="21">
      <t>ミツ</t>
    </rPh>
    <rPh sb="24" eb="26">
      <t>ジッシ</t>
    </rPh>
    <rPh sb="36" eb="37">
      <t>カ</t>
    </rPh>
    <rPh sb="38" eb="41">
      <t>テイシュツズ</t>
    </rPh>
    <phoneticPr fontId="1"/>
  </si>
  <si>
    <t>レビュー</t>
    <phoneticPr fontId="1"/>
  </si>
  <si>
    <t>コスト見積もり</t>
    <rPh sb="3" eb="5">
      <t>ミツ</t>
    </rPh>
    <phoneticPr fontId="1"/>
  </si>
  <si>
    <t>設計</t>
    <rPh sb="0" eb="2">
      <t>セッケイ</t>
    </rPh>
    <phoneticPr fontId="1"/>
  </si>
  <si>
    <t>レビュー会を実施し、承認者の承認を得ているか。</t>
    <rPh sb="4" eb="5">
      <t>カイ</t>
    </rPh>
    <rPh sb="6" eb="8">
      <t>ジッシ</t>
    </rPh>
    <rPh sb="10" eb="13">
      <t>ショウニンシャ</t>
    </rPh>
    <rPh sb="14" eb="16">
      <t>ショウニン</t>
    </rPh>
    <rPh sb="17" eb="18">
      <t>エ</t>
    </rPh>
    <phoneticPr fontId="1"/>
  </si>
  <si>
    <t>プロジェクト関連各部署からのサインオフを受領しているか</t>
    <rPh sb="6" eb="8">
      <t>カンレン</t>
    </rPh>
    <rPh sb="8" eb="9">
      <t>カク</t>
    </rPh>
    <rPh sb="9" eb="11">
      <t>ブショ</t>
    </rPh>
    <rPh sb="20" eb="22">
      <t>ジュリョウ</t>
    </rPh>
    <phoneticPr fontId="1"/>
  </si>
  <si>
    <t>　※DDL変更がある場合のみ
DDL変更が担当社員から部長さんに報告されており、変更承認を得ているか</t>
    <rPh sb="18" eb="20">
      <t>ヘンコウ</t>
    </rPh>
    <rPh sb="21" eb="25">
      <t>タントウシャイン</t>
    </rPh>
    <rPh sb="32" eb="34">
      <t>ホウコク</t>
    </rPh>
    <rPh sb="40" eb="42">
      <t>ヘンコウ</t>
    </rPh>
    <rPh sb="42" eb="44">
      <t>ショウニン</t>
    </rPh>
    <rPh sb="45" eb="46">
      <t>エ</t>
    </rPh>
    <phoneticPr fontId="1"/>
  </si>
  <si>
    <t>　※DDL変更がある場合のみ
DDL変更の部長承認が通ったことをDMOへ申請しているか</t>
    <rPh sb="5" eb="7">
      <t>ヘンコウ</t>
    </rPh>
    <rPh sb="10" eb="12">
      <t>バアイ</t>
    </rPh>
    <rPh sb="18" eb="20">
      <t>ヘンコウ</t>
    </rPh>
    <rPh sb="23" eb="25">
      <t>ショウニン</t>
    </rPh>
    <rPh sb="26" eb="27">
      <t>トオ</t>
    </rPh>
    <rPh sb="36" eb="38">
      <t>シンセイ</t>
    </rPh>
    <phoneticPr fontId="1"/>
  </si>
  <si>
    <t>　※DDL変更がある場合のみ
DDL変更の部長承認が通ったことをDMOへ申請しているか</t>
    <rPh sb="18" eb="20">
      <t>ヘンコウ</t>
    </rPh>
    <rPh sb="26" eb="27">
      <t>トオ</t>
    </rPh>
    <rPh sb="36" eb="38">
      <t>シンセイ</t>
    </rPh>
    <phoneticPr fontId="1"/>
  </si>
  <si>
    <t>計画実施時期が、設計終了後 ～ Ita開始前までにスケジューリングされているか</t>
    <rPh sb="0" eb="2">
      <t>ケイカク</t>
    </rPh>
    <rPh sb="2" eb="4">
      <t>ジッシ</t>
    </rPh>
    <rPh sb="4" eb="6">
      <t>ジキ</t>
    </rPh>
    <rPh sb="8" eb="10">
      <t>セッケイ</t>
    </rPh>
    <rPh sb="10" eb="13">
      <t>シュウリョウゴ</t>
    </rPh>
    <rPh sb="19" eb="21">
      <t>カイシ</t>
    </rPh>
    <rPh sb="21" eb="22">
      <t>マエ</t>
    </rPh>
    <phoneticPr fontId="1"/>
  </si>
  <si>
    <t>招集した会議の日付をプロセスゲートチェックシートに記載したか</t>
    <rPh sb="0" eb="2">
      <t>ショウシュウ</t>
    </rPh>
    <rPh sb="4" eb="6">
      <t>カイギ</t>
    </rPh>
    <rPh sb="7" eb="9">
      <t>ヒヅケ</t>
    </rPh>
    <rPh sb="25" eb="27">
      <t>キサイ</t>
    </rPh>
    <phoneticPr fontId="1"/>
  </si>
  <si>
    <t>環境使用後整備</t>
    <rPh sb="2" eb="5">
      <t>シヨウゴ</t>
    </rPh>
    <rPh sb="5" eb="7">
      <t>セイビ</t>
    </rPh>
    <phoneticPr fontId="1"/>
  </si>
  <si>
    <t>新規開発や重要処理について、担当社員によるソースレビューが完了しているか</t>
    <phoneticPr fontId="1"/>
  </si>
  <si>
    <t>フェーズ開始前</t>
    <phoneticPr fontId="1"/>
  </si>
  <si>
    <t>IT工程での追加変更部分について、担当社員によるソースレビューが完了しているか（開発・UT工程から不要な差分が発生していないかの確認を含む）</t>
    <rPh sb="2" eb="4">
      <t>コウテイ</t>
    </rPh>
    <rPh sb="6" eb="8">
      <t>ツイカ</t>
    </rPh>
    <rPh sb="8" eb="10">
      <t>ヘンコウ</t>
    </rPh>
    <rPh sb="10" eb="12">
      <t>ブブン</t>
    </rPh>
    <rPh sb="17" eb="19">
      <t>タントウ</t>
    </rPh>
    <rPh sb="19" eb="21">
      <t>シャイン</t>
    </rPh>
    <rPh sb="32" eb="34">
      <t>カンリョウ</t>
    </rPh>
    <rPh sb="40" eb="42">
      <t>カイハツ</t>
    </rPh>
    <rPh sb="45" eb="47">
      <t>コウテイ</t>
    </rPh>
    <rPh sb="49" eb="51">
      <t>フヨウ</t>
    </rPh>
    <rPh sb="52" eb="54">
      <t>サブン</t>
    </rPh>
    <rPh sb="55" eb="57">
      <t>ハッセイ</t>
    </rPh>
    <rPh sb="64" eb="66">
      <t>カクニン</t>
    </rPh>
    <rPh sb="67" eb="68">
      <t>フク</t>
    </rPh>
    <phoneticPr fontId="1"/>
  </si>
  <si>
    <t>開発環境でのルールが策定されており、関係者間で認識合わせが完了しているか
　・使用データベース（Delphix）、再起動タイミング、使用サーバー
　・次世代DWH（AWS）への影響
　・新規作成または改修するAWSサービスへ付与する正しいタグ値の採番
　・複数ベンダーで話し合いを設ける必要あり
　　※ルール不明点はMOに問合せ（ベンダー依存にならないように）</t>
    <rPh sb="18" eb="21">
      <t>カンケイシャ</t>
    </rPh>
    <rPh sb="21" eb="22">
      <t>カン</t>
    </rPh>
    <rPh sb="23" eb="25">
      <t>ニンシキ</t>
    </rPh>
    <rPh sb="25" eb="26">
      <t>ア</t>
    </rPh>
    <rPh sb="29" eb="31">
      <t>カンリョウ</t>
    </rPh>
    <rPh sb="39" eb="41">
      <t>シヨウ</t>
    </rPh>
    <rPh sb="66" eb="68">
      <t>シヨウ</t>
    </rPh>
    <rPh sb="75" eb="78">
      <t>ジセダイ</t>
    </rPh>
    <rPh sb="88" eb="90">
      <t>エイキョウ</t>
    </rPh>
    <rPh sb="135" eb="136">
      <t>ハナ</t>
    </rPh>
    <rPh sb="137" eb="138">
      <t>ア</t>
    </rPh>
    <rPh sb="140" eb="141">
      <t>モウ</t>
    </rPh>
    <rPh sb="143" eb="145">
      <t>ヒツヨウ</t>
    </rPh>
    <phoneticPr fontId="1"/>
  </si>
  <si>
    <t>資源の最新化(Githubのコミット)準備が出来ているか</t>
    <phoneticPr fontId="1"/>
  </si>
  <si>
    <t>各社で必要な資源管理が行われているか
　※Github管理が適切であること</t>
    <rPh sb="27" eb="29">
      <t>カンリ</t>
    </rPh>
    <rPh sb="30" eb="32">
      <t>テキセツ</t>
    </rPh>
    <phoneticPr fontId="1"/>
  </si>
  <si>
    <r>
      <rPr>
        <sz val="11"/>
        <rFont val="游ゴシック"/>
        <family val="3"/>
        <charset val="128"/>
        <scheme val="minor"/>
      </rPr>
      <t>下記内容が明記されているか</t>
    </r>
    <r>
      <rPr>
        <sz val="8"/>
        <rFont val="游ゴシック"/>
        <family val="3"/>
        <charset val="128"/>
        <scheme val="minor"/>
      </rPr>
      <t xml:space="preserve">
-----------------------------------------
１）本番移行
　　1.1 システム移行の要件
　　1.2 システム移行の開始条件と終了条件
　　1.3 システム移行方式詳細
　　1.4 システム移行のリハーサル
　　1.5 システム移行の体制
　　1.6 システム移行のスケジュール
　　1.7 システム移行時のリスクと対応策
　　1.8 コンティンジェンシープラン
２）UAT移行
　　2.1 システム移行の要件
　　2.2 システム移行の開始条件と終了条件
　　2.3 システム移行方式詳細
　　2.4 システム移行のリハーサル
　　2.5 システム移行の体制
　　2.6 システム移行のスケジュール
　　2.7 システム移行時のリスクと対応策
　　2.8 コンティンジェンシープラン
３）初回稼働監視
　　3.1 稼働監視の開始条件と終了条件
　　3.2 稼働監視体制
　　3.3 稼働監視のスケジュール
　　3.4 稼働監視のリスクと対応策
　　3.5 コンティンジェンシープラン
４）制約・制限事項
-----------------------------------------
</t>
    </r>
    <r>
      <rPr>
        <sz val="11"/>
        <rFont val="游ゴシック"/>
        <family val="3"/>
        <charset val="128"/>
        <scheme val="minor"/>
      </rPr>
      <t>※アジェンダの内容については、必要に応じてプロジェクトで加筆/修正すること</t>
    </r>
    <rPh sb="536" eb="538">
      <t>ナイヨウ</t>
    </rPh>
    <rPh sb="544" eb="546">
      <t>ヒツヨウ</t>
    </rPh>
    <rPh sb="547" eb="548">
      <t>オウ</t>
    </rPh>
    <rPh sb="557" eb="559">
      <t>カヒツ</t>
    </rPh>
    <rPh sb="560" eb="562">
      <t>シュウセイ</t>
    </rPh>
    <phoneticPr fontId="1"/>
  </si>
  <si>
    <r>
      <rPr>
        <sz val="11"/>
        <rFont val="游ゴシック"/>
        <family val="3"/>
        <charset val="128"/>
        <scheme val="minor"/>
      </rPr>
      <t>下記内容が明記されているか</t>
    </r>
    <r>
      <rPr>
        <sz val="8"/>
        <rFont val="游ゴシック"/>
        <family val="3"/>
        <charset val="128"/>
        <scheme val="minor"/>
      </rPr>
      <t xml:space="preserve">
-----------------------------------------
１）テストの目的
２）テストの範囲とテストレベルの定義 
３）テストアプローチ
４）テスト開始、中断、再開、終了基準
５）スケジュール
６）テスト環境
７）体制
８）コミュニケーション方法
９）BTS(Bug Tracking System)チケットフロー
１０）リスクと対応策
１１）成果物
-----------------------------------------
</t>
    </r>
    <r>
      <rPr>
        <sz val="11"/>
        <rFont val="游ゴシック"/>
        <family val="3"/>
        <charset val="128"/>
        <scheme val="minor"/>
      </rPr>
      <t>※アジェンダの内容については、必要に応じてプロジェクトで加筆/修正すること</t>
    </r>
    <phoneticPr fontId="1"/>
  </si>
  <si>
    <r>
      <t xml:space="preserve">DB変更の環境反映計画ができているか(DEV/UAT/本番)
</t>
    </r>
    <r>
      <rPr>
        <sz val="11"/>
        <rFont val="游ゴシック"/>
        <family val="3"/>
        <charset val="128"/>
      </rPr>
      <t>※各システムの</t>
    </r>
    <r>
      <rPr>
        <sz val="11"/>
        <rFont val="游ゴシック"/>
        <family val="3"/>
        <charset val="128"/>
        <scheme val="minor"/>
      </rPr>
      <t>開発/改修よりも先行でDB変更を各環境に反映する</t>
    </r>
    <rPh sb="2" eb="4">
      <t>ヘンコウ</t>
    </rPh>
    <rPh sb="5" eb="7">
      <t>カンキョウ</t>
    </rPh>
    <rPh sb="7" eb="9">
      <t>ハンエイ</t>
    </rPh>
    <rPh sb="9" eb="11">
      <t>ケイカク</t>
    </rPh>
    <rPh sb="27" eb="29">
      <t>ホンバン</t>
    </rPh>
    <rPh sb="32" eb="33">
      <t>カク</t>
    </rPh>
    <rPh sb="38" eb="40">
      <t>カイハツ</t>
    </rPh>
    <rPh sb="41" eb="43">
      <t>カイシュウ</t>
    </rPh>
    <rPh sb="46" eb="48">
      <t>センコウ</t>
    </rPh>
    <rPh sb="51" eb="53">
      <t>ヘンコウ</t>
    </rPh>
    <rPh sb="54" eb="55">
      <t>カク</t>
    </rPh>
    <rPh sb="55" eb="57">
      <t>カンキョウ</t>
    </rPh>
    <rPh sb="58" eb="60">
      <t>ハンエイ</t>
    </rPh>
    <phoneticPr fontId="1"/>
  </si>
  <si>
    <t>非機能要件</t>
    <rPh sb="0" eb="1">
      <t>ヒ</t>
    </rPh>
    <rPh sb="1" eb="3">
      <t>キノウ</t>
    </rPh>
    <rPh sb="3" eb="5">
      <t>ヨウケン</t>
    </rPh>
    <phoneticPr fontId="1"/>
  </si>
  <si>
    <t>開発に使用するプログラミング言語、フレームワーク、ライブラリ、ランタイムのバージョンが、
情報システム部で合意した標準バージョンと一致していることを確認したか。</t>
    <phoneticPr fontId="1"/>
  </si>
  <si>
    <t>情報資産管理台帳</t>
    <phoneticPr fontId="1"/>
  </si>
  <si>
    <t>新規システムやDB・帳票等を追加した場合、情報資産管理台帳の更新要否を確認し、必要な場合は更新を行ったか。</t>
    <phoneticPr fontId="1"/>
  </si>
  <si>
    <t>情報システム部SD課</t>
    <phoneticPr fontId="1"/>
  </si>
  <si>
    <t>1.0</t>
    <phoneticPr fontId="14"/>
  </si>
  <si>
    <t>プロジェクト計画</t>
  </si>
  <si>
    <t>フェーズ開始時</t>
    <phoneticPr fontId="1"/>
  </si>
  <si>
    <t>社内の合意形成</t>
  </si>
  <si>
    <t>関係部署の整理が完了している</t>
    <rPh sb="8" eb="10">
      <t>カンリョウ</t>
    </rPh>
    <phoneticPr fontId="1"/>
  </si>
  <si>
    <t>関係部署間で、廃止・統合・代替の方針について合意が取れている（認識相違がない）</t>
  </si>
  <si>
    <t>業務影響の把握ができている</t>
  </si>
  <si>
    <t>業務目線での検討</t>
    <rPh sb="0" eb="4">
      <t>ギョウムメセン</t>
    </rPh>
    <rPh sb="6" eb="8">
      <t>ケントウ</t>
    </rPh>
    <phoneticPr fontId="1"/>
  </si>
  <si>
    <t>システム（開発）目線だけでなく、業務目線からも検討できている</t>
    <rPh sb="23" eb="25">
      <t>ケントウ</t>
    </rPh>
    <phoneticPr fontId="1"/>
  </si>
  <si>
    <t>ユーザとの調整</t>
    <rPh sb="5" eb="7">
      <t>チョウセイ</t>
    </rPh>
    <phoneticPr fontId="1"/>
  </si>
  <si>
    <t>ユーザとの調整タイミングの考慮ができている（いつユーザに持っていくかなど）</t>
    <rPh sb="5" eb="7">
      <t>チョウセイ</t>
    </rPh>
    <rPh sb="13" eb="15">
      <t>コウリョ</t>
    </rPh>
    <rPh sb="28" eb="29">
      <t>モ</t>
    </rPh>
    <phoneticPr fontId="1"/>
  </si>
  <si>
    <t>作業移管</t>
    <rPh sb="0" eb="4">
      <t>サギョウイカン</t>
    </rPh>
    <phoneticPr fontId="1"/>
  </si>
  <si>
    <t>他部署への作業移管を検討済みである</t>
    <rPh sb="0" eb="3">
      <t>タブショ</t>
    </rPh>
    <rPh sb="5" eb="7">
      <t>サギョウ</t>
    </rPh>
    <rPh sb="7" eb="9">
      <t>イカン</t>
    </rPh>
    <rPh sb="10" eb="12">
      <t>ケントウ</t>
    </rPh>
    <rPh sb="12" eb="13">
      <t>ズ</t>
    </rPh>
    <phoneticPr fontId="1"/>
  </si>
  <si>
    <t>フェーズ終了1週前</t>
    <rPh sb="4" eb="6">
      <t>シュウリョウ</t>
    </rPh>
    <rPh sb="8" eb="9">
      <t>マエ</t>
    </rPh>
    <phoneticPr fontId="1"/>
  </si>
  <si>
    <t>フェーズ終了1週前</t>
    <phoneticPr fontId="1"/>
  </si>
  <si>
    <t>並行稼働、データ比較、非機能要件を踏まえた計画になっているか</t>
    <rPh sb="0" eb="2">
      <t>ヘイコウ</t>
    </rPh>
    <rPh sb="2" eb="4">
      <t>カドウ</t>
    </rPh>
    <rPh sb="8" eb="10">
      <t>ヒカク</t>
    </rPh>
    <rPh sb="11" eb="12">
      <t>ヒ</t>
    </rPh>
    <rPh sb="12" eb="14">
      <t>キノウ</t>
    </rPh>
    <rPh sb="14" eb="16">
      <t>ヨウケン</t>
    </rPh>
    <rPh sb="17" eb="18">
      <t>フ</t>
    </rPh>
    <rPh sb="21" eb="23">
      <t>ケイカク</t>
    </rPh>
    <phoneticPr fontId="1"/>
  </si>
  <si>
    <t>移行リハーサルが計画されているか</t>
    <phoneticPr fontId="1"/>
  </si>
  <si>
    <t>非機能要件</t>
  </si>
  <si>
    <t>要件定義の内容と設計の整合性を確認する計画が立てられている</t>
    <phoneticPr fontId="1"/>
  </si>
  <si>
    <t>設定</t>
  </si>
  <si>
    <t>通信が成功するかの事前確認をする計画が立てられている</t>
    <phoneticPr fontId="1"/>
  </si>
  <si>
    <t>権限設定・付与を想定通りに行う計画が立てられている</t>
    <phoneticPr fontId="1"/>
  </si>
  <si>
    <t>パス設定の妥当性を確認する計画が立てられている</t>
    <phoneticPr fontId="1"/>
  </si>
  <si>
    <t>環境設定が適切になるよう計画が立てられている</t>
    <phoneticPr fontId="1"/>
  </si>
  <si>
    <t>資材</t>
    <rPh sb="0" eb="2">
      <t>シザイ</t>
    </rPh>
    <phoneticPr fontId="1"/>
  </si>
  <si>
    <t>【文字コードの妥当性】
下記内容について、環境差異を考慮した設定確認を行う計画が立てられている
　・文字コード（UTF-8、Shift-JIS、BOM付、ASCII）※BOM付だとABENDする
　・改行コード（CRLF、LF）
　・特殊文字（エスケープ文字列）
　・エディタ（IDE）のエンコード設定</t>
    <phoneticPr fontId="1"/>
  </si>
  <si>
    <t>【資材の妥当性】
下記内容について、確認を行う計画が立てられている
　・必要な資材が配置されている
　・準備した資材とリリース時の資材のハッシュ値が一致する
　・パラメータが想定通りに設定されている</t>
    <phoneticPr fontId="1"/>
  </si>
  <si>
    <t>【資材の比較】
下記内容について、比較を行う計画が立てられている
　・現行と新の比較
　・下位環境との比較</t>
    <phoneticPr fontId="1"/>
  </si>
  <si>
    <t>手順書</t>
    <rPh sb="0" eb="3">
      <t>テジュンショ</t>
    </rPh>
    <phoneticPr fontId="1"/>
  </si>
  <si>
    <t>手順書と実際の環境の整合性を確認する計画が立てられている</t>
    <phoneticPr fontId="1"/>
  </si>
  <si>
    <t>情報共有</t>
    <rPh sb="0" eb="2">
      <t>ジョウホウ</t>
    </rPh>
    <rPh sb="2" eb="4">
      <t>キョウユウ</t>
    </rPh>
    <phoneticPr fontId="1"/>
  </si>
  <si>
    <t>関係部署（開発課、インフラ課）に実施内容・影響範囲を共有する計画が立てられている</t>
    <phoneticPr fontId="1"/>
  </si>
  <si>
    <t>データ</t>
  </si>
  <si>
    <t>現行と新のデータ比較を実施する計画が立てられている</t>
    <phoneticPr fontId="1"/>
  </si>
  <si>
    <t>開発/UTフェーズ終了1週前</t>
    <rPh sb="0" eb="2">
      <t>カイハツ</t>
    </rPh>
    <phoneticPr fontId="1"/>
  </si>
  <si>
    <t>・ITA、ITB実行する人、日程が確定していること
（Day by Dayで、要員も含め対応スケジュールを作成する）</t>
    <phoneticPr fontId="1"/>
  </si>
  <si>
    <t>受入テスト計画</t>
    <phoneticPr fontId="1"/>
  </si>
  <si>
    <t>フェーズ終了1週前</t>
    <rPh sb="7" eb="8">
      <t>シュウ</t>
    </rPh>
    <phoneticPr fontId="1"/>
  </si>
  <si>
    <t xml:space="preserve">下記内容が明記されているか
-----------------------------------------
１）テストの目的
２）テストの範囲とテストレベルの定義
３）テストアプローチ
４）テスト開始、中断、再開、終了基準
５）スケジュール
６）テスト環境
７）体制
８）コミュニケーション方法
９）BTS(Bug Tracking System)チケットフロー
１０）リスクと対応策
１１）成果物
-----------------------------------------
※アジェンダの内容については、必要に応じてプロジェクトで加筆/修正すること。
</t>
  </si>
  <si>
    <t>フェーズ開始時</t>
    <rPh sb="4" eb="7">
      <t>カイシジ</t>
    </rPh>
    <phoneticPr fontId="1"/>
  </si>
  <si>
    <t>影響範囲（非機能要件）</t>
    <rPh sb="0" eb="2">
      <t>エイキョウ</t>
    </rPh>
    <rPh sb="2" eb="4">
      <t>ハンイ</t>
    </rPh>
    <rPh sb="5" eb="8">
      <t>ヒキノウ</t>
    </rPh>
    <rPh sb="8" eb="10">
      <t>ヨウケン</t>
    </rPh>
    <phoneticPr fontId="1"/>
  </si>
  <si>
    <t>影響範囲として対象を洗い出し、各対象について該当する非機能要件の論点（A～F）を検討し、要件に含める／含めないを判断していること。
1. 適用対象
　・システム
　・機能
　・画面
　・帳票
　・ジョブネット・ジョブ
　・連携（IFファイル、API、メール通知、外部SaaS）
　・DB（スキーマ、ロール、テーブル、ビュー、FDW）
　・ログ（アプリログ、アクセスログ、バッチログ、エラーログ）</t>
    <phoneticPr fontId="1"/>
  </si>
  <si>
    <t>監視方式/監視項目/監視体制</t>
    <phoneticPr fontId="1"/>
  </si>
  <si>
    <t>・監視項目が一覧でまとまっており、誰でも実行できるまで詳細に記述されている
・監視ツールやサービスは明確化されている
・障害レベルを定義し、各監視項目への設定基準が設定されている
・JOB監視体制は一覧でまとまっている</t>
    <phoneticPr fontId="1"/>
  </si>
  <si>
    <t>アラート検知</t>
    <phoneticPr fontId="1"/>
  </si>
  <si>
    <t>異常項目とアラートメッセージ、送信先、対処法はまとまっている</t>
    <rPh sb="0" eb="2">
      <t>イジョウ</t>
    </rPh>
    <rPh sb="2" eb="4">
      <t>コウモク</t>
    </rPh>
    <rPh sb="15" eb="17">
      <t>ソウシン</t>
    </rPh>
    <rPh sb="17" eb="18">
      <t>サキ</t>
    </rPh>
    <rPh sb="19" eb="22">
      <t>タイショホウ</t>
    </rPh>
    <phoneticPr fontId="1"/>
  </si>
  <si>
    <t>アラートが適切に検知できるような設計になっている</t>
    <rPh sb="5" eb="7">
      <t>テキセツ</t>
    </rPh>
    <rPh sb="8" eb="10">
      <t>ケンチ</t>
    </rPh>
    <rPh sb="16" eb="18">
      <t>セッケイ</t>
    </rPh>
    <phoneticPr fontId="1"/>
  </si>
  <si>
    <t>障害ケースの洗い出し</t>
    <phoneticPr fontId="1"/>
  </si>
  <si>
    <t>原因と対処をセットに一覧化されている</t>
    <rPh sb="0" eb="2">
      <t>ゲンイン</t>
    </rPh>
    <rPh sb="3" eb="5">
      <t>タイショ</t>
    </rPh>
    <rPh sb="10" eb="13">
      <t>イチランカ</t>
    </rPh>
    <phoneticPr fontId="1"/>
  </si>
  <si>
    <t>有識者に確認し、洗い出せている</t>
    <rPh sb="0" eb="3">
      <t>ユウシキシャ</t>
    </rPh>
    <rPh sb="4" eb="6">
      <t>カクニン</t>
    </rPh>
    <rPh sb="8" eb="9">
      <t>アラ</t>
    </rPh>
    <rPh sb="10" eb="11">
      <t>ダ</t>
    </rPh>
    <phoneticPr fontId="1"/>
  </si>
  <si>
    <t>アラートが発生した際の対応手順</t>
    <phoneticPr fontId="1"/>
  </si>
  <si>
    <t>障害レベルに応じた連絡先や連絡方法などのフローが設定されている</t>
    <phoneticPr fontId="1"/>
  </si>
  <si>
    <t>システム利用不可時の代替手順</t>
    <phoneticPr fontId="1"/>
  </si>
  <si>
    <t>代替手順が用意されている（マニュアルの手順書など）</t>
    <rPh sb="0" eb="2">
      <t>ダイタイ</t>
    </rPh>
    <rPh sb="2" eb="4">
      <t>テジュン</t>
    </rPh>
    <rPh sb="5" eb="7">
      <t>ヨウイ</t>
    </rPh>
    <rPh sb="19" eb="22">
      <t>テジュンショ</t>
    </rPh>
    <phoneticPr fontId="1"/>
  </si>
  <si>
    <t>ログ</t>
    <phoneticPr fontId="1"/>
  </si>
  <si>
    <t>ログ用途の整理ができている
・目的
・想定読者
・ログ容量（サイズ、圧縮、容量不足のアラートなどを考慮）
・保存先
・ローテーション
・保存期間</t>
    <rPh sb="2" eb="4">
      <t>ヨウト</t>
    </rPh>
    <rPh sb="5" eb="7">
      <t>セイリ</t>
    </rPh>
    <phoneticPr fontId="1"/>
  </si>
  <si>
    <t>メッセージは想定読者が理解できる内容になっている</t>
    <rPh sb="6" eb="8">
      <t>ソウテイ</t>
    </rPh>
    <rPh sb="8" eb="10">
      <t>ドクシャ</t>
    </rPh>
    <rPh sb="11" eb="13">
      <t>リカイ</t>
    </rPh>
    <rPh sb="16" eb="18">
      <t>ナイヨウ</t>
    </rPh>
    <phoneticPr fontId="1"/>
  </si>
  <si>
    <t>出力してはいけないメッセージ内容（個人情報、機微情報など）は出力されないようになっている</t>
    <rPh sb="0" eb="2">
      <t>シュツリョク</t>
    </rPh>
    <rPh sb="14" eb="16">
      <t>ナイヨウ</t>
    </rPh>
    <rPh sb="17" eb="21">
      <t>コジンジョウホウ</t>
    </rPh>
    <rPh sb="22" eb="24">
      <t>キビ</t>
    </rPh>
    <rPh sb="24" eb="26">
      <t>ジョウホウ</t>
    </rPh>
    <rPh sb="30" eb="32">
      <t>シュツリョク</t>
    </rPh>
    <phoneticPr fontId="1"/>
  </si>
  <si>
    <t>緊急性のあるログはアラートが飛ぶようになっている</t>
    <rPh sb="0" eb="3">
      <t>キンキュウセイ</t>
    </rPh>
    <rPh sb="14" eb="15">
      <t>ト</t>
    </rPh>
    <phoneticPr fontId="1"/>
  </si>
  <si>
    <t>ログ名称は分かりやすい形式になっている</t>
    <rPh sb="2" eb="4">
      <t>メイショウ</t>
    </rPh>
    <rPh sb="5" eb="6">
      <t>ワ</t>
    </rPh>
    <rPh sb="11" eb="13">
      <t>ケイシキ</t>
    </rPh>
    <phoneticPr fontId="1"/>
  </si>
  <si>
    <t>JOB管理</t>
    <rPh sb="3" eb="5">
      <t>カンリ</t>
    </rPh>
    <phoneticPr fontId="1"/>
  </si>
  <si>
    <t>実行するJOB一覧が分かりやすいようにまとまっている</t>
    <rPh sb="0" eb="2">
      <t>ジッコウ</t>
    </rPh>
    <rPh sb="7" eb="9">
      <t>イチラン</t>
    </rPh>
    <rPh sb="10" eb="11">
      <t>ワ</t>
    </rPh>
    <phoneticPr fontId="1"/>
  </si>
  <si>
    <t>JOBごとに正しいグルーピングがされている</t>
    <rPh sb="6" eb="7">
      <t>タダ</t>
    </rPh>
    <phoneticPr fontId="1"/>
  </si>
  <si>
    <t>他JOBとバッティングしないように設計されている</t>
    <rPh sb="0" eb="1">
      <t>ホカ</t>
    </rPh>
    <rPh sb="17" eb="19">
      <t>セッケイ</t>
    </rPh>
    <phoneticPr fontId="1"/>
  </si>
  <si>
    <t>システム利用者に影響が少ない時間帯での実行になっている</t>
    <rPh sb="4" eb="7">
      <t>リヨウシャ</t>
    </rPh>
    <rPh sb="8" eb="10">
      <t>エイキョウ</t>
    </rPh>
    <rPh sb="11" eb="12">
      <t>スク</t>
    </rPh>
    <rPh sb="14" eb="17">
      <t>ジカンタイ</t>
    </rPh>
    <rPh sb="19" eb="21">
      <t>ジッコウ</t>
    </rPh>
    <phoneticPr fontId="1"/>
  </si>
  <si>
    <t>AWS利用コストの見積もり</t>
    <phoneticPr fontId="1"/>
  </si>
  <si>
    <t>AWSの利用コストは根拠のある見積りがされている</t>
    <rPh sb="4" eb="6">
      <t>リヨウ</t>
    </rPh>
    <rPh sb="10" eb="12">
      <t>コンキョ</t>
    </rPh>
    <rPh sb="15" eb="17">
      <t>ミツモリ</t>
    </rPh>
    <phoneticPr fontId="1"/>
  </si>
  <si>
    <t>AWSの利用コストの承認はとれている</t>
    <rPh sb="4" eb="6">
      <t>リヨウ</t>
    </rPh>
    <rPh sb="10" eb="12">
      <t>ショウニン</t>
    </rPh>
    <phoneticPr fontId="1"/>
  </si>
  <si>
    <t>コスト管理</t>
    <rPh sb="3" eb="5">
      <t>カンリ</t>
    </rPh>
    <phoneticPr fontId="1"/>
  </si>
  <si>
    <t>コストが適切に見られるような設定（AWSのタグ設定など）について検討が終わっている</t>
    <phoneticPr fontId="1"/>
  </si>
  <si>
    <t>要件定義で要件に含めた項目が、設計に落とし込まれている</t>
    <phoneticPr fontId="1"/>
  </si>
  <si>
    <t>データ削除時期設計（本番環境）</t>
    <rPh sb="3" eb="5">
      <t>サクジョ</t>
    </rPh>
    <rPh sb="5" eb="7">
      <t>ジキ</t>
    </rPh>
    <rPh sb="7" eb="9">
      <t>セッケイ</t>
    </rPh>
    <rPh sb="10" eb="12">
      <t>ホンバン</t>
    </rPh>
    <rPh sb="12" eb="14">
      <t>カンキョウ</t>
    </rPh>
    <phoneticPr fontId="1"/>
  </si>
  <si>
    <r>
      <t xml:space="preserve">システムで作成されるデータについて削除時期の設計がされているか。
　・S3のデータ削除時期
</t>
    </r>
    <r>
      <rPr>
        <sz val="10"/>
        <rFont val="游ゴシック"/>
        <family val="3"/>
        <charset val="128"/>
        <scheme val="minor"/>
      </rPr>
      <t>※S3の削除時期決定の参考資料
　　G:\Customer Service and IT\IT Dept\Team\Project_2024\20240229_S3不要ファイル削除\S3データ整理方針¥S3_資源整理_各方針.pptx</t>
    </r>
    <rPh sb="5" eb="7">
      <t>サクセイ</t>
    </rPh>
    <rPh sb="17" eb="19">
      <t>サクジョ</t>
    </rPh>
    <rPh sb="19" eb="21">
      <t>ジキ</t>
    </rPh>
    <rPh sb="22" eb="24">
      <t>セッケイ</t>
    </rPh>
    <rPh sb="41" eb="43">
      <t>サクジョ</t>
    </rPh>
    <rPh sb="43" eb="45">
      <t>ジキ</t>
    </rPh>
    <rPh sb="50" eb="52">
      <t>サクジョ</t>
    </rPh>
    <rPh sb="52" eb="54">
      <t>ジキ</t>
    </rPh>
    <rPh sb="54" eb="56">
      <t>ケッテイ</t>
    </rPh>
    <rPh sb="57" eb="59">
      <t>サンコウ</t>
    </rPh>
    <rPh sb="59" eb="61">
      <t>シリョウ</t>
    </rPh>
    <phoneticPr fontId="1"/>
  </si>
  <si>
    <t>テスト用データやプログラム等の
削除検討（テスト環境）</t>
    <rPh sb="13" eb="14">
      <t>トウ</t>
    </rPh>
    <rPh sb="16" eb="18">
      <t>サクジョ</t>
    </rPh>
    <rPh sb="18" eb="20">
      <t>ケントウ</t>
    </rPh>
    <rPh sb="24" eb="26">
      <t>カンキョウ</t>
    </rPh>
    <phoneticPr fontId="1"/>
  </si>
  <si>
    <t>「開発/UAT/外接/ステージング/ブルーグリーン」各環境を利用する各工程において
以下の不要データの削除検討したか。
・S3
・Aurora
・Lambda等の不要テストプログラム</t>
    <rPh sb="30" eb="32">
      <t>リヨウ</t>
    </rPh>
    <rPh sb="42" eb="44">
      <t>イカ</t>
    </rPh>
    <phoneticPr fontId="1"/>
  </si>
  <si>
    <t>コストが適切に見られるような設定（AWSのタグ設定など）がされている</t>
    <phoneticPr fontId="1"/>
  </si>
  <si>
    <t>先の工程に向けた準備</t>
    <phoneticPr fontId="1"/>
  </si>
  <si>
    <t>IT受入（UAT環境）</t>
    <rPh sb="2" eb="4">
      <t>ウケイレ</t>
    </rPh>
    <phoneticPr fontId="1"/>
  </si>
  <si>
    <t>本番移行準備（先の工程に向けた準備）</t>
    <rPh sb="0" eb="2">
      <t>ホンバン</t>
    </rPh>
    <rPh sb="2" eb="4">
      <t>イコウ</t>
    </rPh>
    <rPh sb="4" eb="6">
      <t>ジュンビ</t>
    </rPh>
    <phoneticPr fontId="1"/>
  </si>
  <si>
    <t>設定</t>
    <rPh sb="0" eb="2">
      <t>セッテイ</t>
    </rPh>
    <phoneticPr fontId="1"/>
  </si>
  <si>
    <t>通信が成功するかの事前確認をしている</t>
    <rPh sb="3" eb="5">
      <t>セイコウ</t>
    </rPh>
    <phoneticPr fontId="31"/>
  </si>
  <si>
    <t>権限が正しく設定・付与されている</t>
    <phoneticPr fontId="1"/>
  </si>
  <si>
    <t>パスが正しく設定されている</t>
    <phoneticPr fontId="1"/>
  </si>
  <si>
    <t>環境に適した設定になっているか</t>
    <rPh sb="0" eb="2">
      <t>カンキョウ</t>
    </rPh>
    <rPh sb="3" eb="4">
      <t>テキ</t>
    </rPh>
    <rPh sb="6" eb="8">
      <t>セッテイ</t>
    </rPh>
    <phoneticPr fontId="1"/>
  </si>
  <si>
    <t>資材</t>
    <phoneticPr fontId="1"/>
  </si>
  <si>
    <t>【文字コードの妥当性】
下記内容について、環境ごとの差異を考慮した設定がされている
　・文字コード（UTF-8、Shift-JIS、BOM付、ASCII）※BOM付だとABENDする
　・改行コード（CRLF、LF）
　・特殊文字（エスケープ文字列）
　・エディタ（IDE）のエンコード設定</t>
    <phoneticPr fontId="1"/>
  </si>
  <si>
    <t>【資材の妥当性】
下記内容について、確認を行う
　・必要な資材が配置されている
　・準備した資材とリリース時の資材のハッシュ値が一致する
　・パラメータが想定通りに設定されている</t>
    <phoneticPr fontId="1"/>
  </si>
  <si>
    <t>【資材の比較】
下記内容について、比較準備を行う
　・現行と新の比較
　・下位環境との比較</t>
    <rPh sb="1" eb="3">
      <t>シザイ</t>
    </rPh>
    <rPh sb="4" eb="6">
      <t>ヒカク</t>
    </rPh>
    <rPh sb="8" eb="10">
      <t>カキ</t>
    </rPh>
    <rPh sb="10" eb="12">
      <t>ナイヨウ</t>
    </rPh>
    <rPh sb="17" eb="19">
      <t>ヒカク</t>
    </rPh>
    <rPh sb="19" eb="21">
      <t>ジュンビ</t>
    </rPh>
    <rPh sb="22" eb="23">
      <t>オコナ</t>
    </rPh>
    <rPh sb="27" eb="29">
      <t>ゲンコウ</t>
    </rPh>
    <rPh sb="30" eb="31">
      <t>シン</t>
    </rPh>
    <rPh sb="32" eb="34">
      <t>ヒカク</t>
    </rPh>
    <rPh sb="37" eb="39">
      <t>カイ</t>
    </rPh>
    <rPh sb="39" eb="41">
      <t>カンキョウ</t>
    </rPh>
    <rPh sb="43" eb="45">
      <t>ヒカク</t>
    </rPh>
    <phoneticPr fontId="1"/>
  </si>
  <si>
    <t>手順書と実際の環境が一致している</t>
  </si>
  <si>
    <t>情報共有</t>
    <phoneticPr fontId="1"/>
  </si>
  <si>
    <t>関係部署（開発課、インフラ課）に実施内容・影響範囲を共有している</t>
  </si>
  <si>
    <t>データ比較</t>
  </si>
  <si>
    <t>現行と新のデータ比較準備ができている</t>
    <phoneticPr fontId="1"/>
  </si>
  <si>
    <t>データの中身を全件確認する準備ができている（想定通りであること：データ、件数、文字化けなし）</t>
    <rPh sb="7" eb="8">
      <t>ゼン</t>
    </rPh>
    <rPh sb="8" eb="9">
      <t>ケン</t>
    </rPh>
    <rPh sb="9" eb="11">
      <t>カクニン</t>
    </rPh>
    <phoneticPr fontId="1"/>
  </si>
  <si>
    <t>フェーズ終了時</t>
    <phoneticPr fontId="1"/>
  </si>
  <si>
    <t>手順書と実際の環境が一致している</t>
    <phoneticPr fontId="1"/>
  </si>
  <si>
    <t>関係部署（開発課、インフラ課）に実施内容・影響範囲を共有している</t>
    <phoneticPr fontId="1"/>
  </si>
  <si>
    <t>データの中身を全件確認する準備ができている（想定通りであること：データ、件数、文字化けなし）</t>
    <rPh sb="7" eb="9">
      <t>ゼンケン</t>
    </rPh>
    <phoneticPr fontId="1"/>
  </si>
  <si>
    <t>テスト用データやプログラム等の
削除（テスト環境）</t>
    <rPh sb="3" eb="4">
      <t>ヨウ</t>
    </rPh>
    <rPh sb="13" eb="14">
      <t>トウ</t>
    </rPh>
    <rPh sb="16" eb="18">
      <t>サクジョ</t>
    </rPh>
    <phoneticPr fontId="1"/>
  </si>
  <si>
    <t>「開発/UAT/外接/ステージング/ブルーグリーン」各環境を利用する各工程において
不要データやプログラム等の削除を行ったか。
・S3
・Aurora
・Lambda等の不要テストプログラム</t>
    <rPh sb="42" eb="44">
      <t>フヨウ</t>
    </rPh>
    <rPh sb="53" eb="54">
      <t>トウ</t>
    </rPh>
    <rPh sb="55" eb="57">
      <t>サクジョ</t>
    </rPh>
    <rPh sb="58" eb="59">
      <t>オコナ</t>
    </rPh>
    <rPh sb="83" eb="84">
      <t>トウ</t>
    </rPh>
    <rPh sb="85" eb="87">
      <t>フヨウ</t>
    </rPh>
    <phoneticPr fontId="1"/>
  </si>
  <si>
    <t>システム利用者が行う業務の具体的な内容が洗い出せている</t>
    <rPh sb="20" eb="21">
      <t>アラ</t>
    </rPh>
    <rPh sb="22" eb="23">
      <t>ダ</t>
    </rPh>
    <phoneticPr fontId="1"/>
  </si>
  <si>
    <t>システムを利用するユーザーの一覧が用意されている</t>
    <rPh sb="14" eb="16">
      <t>イチラン</t>
    </rPh>
    <rPh sb="17" eb="19">
      <t>ヨウイ</t>
    </rPh>
    <phoneticPr fontId="1"/>
  </si>
  <si>
    <t>システムが影響を与える業務の範囲が洗い出せている</t>
    <rPh sb="17" eb="18">
      <t>アラ</t>
    </rPh>
    <rPh sb="19" eb="20">
      <t>ダ</t>
    </rPh>
    <phoneticPr fontId="1"/>
  </si>
  <si>
    <t>外部システムとの接続が行われる時間帯を把握している</t>
    <rPh sb="19" eb="21">
      <t>ハアク</t>
    </rPh>
    <phoneticPr fontId="1"/>
  </si>
  <si>
    <t>業務が特に忙しくなる時期を把握し、業務影響を考慮できている
（例えば、業務影響がある期間を避けてリリースを計画するなど。）</t>
    <rPh sb="13" eb="15">
      <t>ハアク</t>
    </rPh>
    <rPh sb="17" eb="19">
      <t>ギョウム</t>
    </rPh>
    <rPh sb="19" eb="21">
      <t>エイキョウ</t>
    </rPh>
    <rPh sb="22" eb="24">
      <t>コウリョ</t>
    </rPh>
    <rPh sb="35" eb="39">
      <t>ギョウムエイキョウ</t>
    </rPh>
    <phoneticPr fontId="1"/>
  </si>
  <si>
    <t>システムメンテナンスを行うことができる時間帯を把握できている</t>
    <rPh sb="23" eb="25">
      <t>ハアク</t>
    </rPh>
    <phoneticPr fontId="1"/>
  </si>
  <si>
    <t>システム運用中に管理すべき項目が洗い出せている（管理するべきものが無い場合は不要）</t>
    <rPh sb="16" eb="17">
      <t>アラ</t>
    </rPh>
    <rPh sb="18" eb="19">
      <t>ダ</t>
    </rPh>
    <phoneticPr fontId="1"/>
  </si>
  <si>
    <t>運用を担当する者と管理者の役割が明確化されている</t>
    <rPh sb="16" eb="19">
      <t>メイカクカ</t>
    </rPh>
    <phoneticPr fontId="1"/>
  </si>
  <si>
    <t>日次・月次などの定期的な作業スケジュールが立てられている</t>
    <rPh sb="21" eb="22">
      <t>タ</t>
    </rPh>
    <phoneticPr fontId="1"/>
  </si>
  <si>
    <t>定期的に実施する作業のリストが用意されている</t>
    <rPh sb="15" eb="17">
      <t>ヨウイ</t>
    </rPh>
    <phoneticPr fontId="1"/>
  </si>
  <si>
    <t>必要に応じて実施する作業のリストが用意されている</t>
    <phoneticPr fontId="1"/>
  </si>
  <si>
    <t>JOB管理資料が更新されている
・バッチシステム一覧
・JOBネット図</t>
    <phoneticPr fontId="1"/>
  </si>
  <si>
    <t>システムの再起動手順が用意されている
・起動停止手順、チェック表が準備されている
・起動停止手順、チェック表に、起動停止に伴う影響先が整理されている</t>
    <rPh sb="11" eb="13">
      <t>ヨウイ</t>
    </rPh>
    <rPh sb="20" eb="26">
      <t>キドウテイシテジュン</t>
    </rPh>
    <rPh sb="31" eb="32">
      <t>ヒョウ</t>
    </rPh>
    <rPh sb="33" eb="35">
      <t>ジュンビ</t>
    </rPh>
    <rPh sb="56" eb="60">
      <t>キドウテイシ</t>
    </rPh>
    <rPh sb="61" eb="62">
      <t>トモナ</t>
    </rPh>
    <rPh sb="63" eb="66">
      <t>エイキョウサキ</t>
    </rPh>
    <rPh sb="67" eb="69">
      <t>セイリ</t>
    </rPh>
    <phoneticPr fontId="1"/>
  </si>
  <si>
    <t>新機能や修正をリリースするための手順が用意されている</t>
    <rPh sb="19" eb="21">
      <t>ヨウイ</t>
    </rPh>
    <phoneticPr fontId="1"/>
  </si>
  <si>
    <t>緊急時の連絡先が明確になっている</t>
    <phoneticPr fontId="1"/>
  </si>
  <si>
    <t>障害発生時の役割分担、連絡先が明確になっている</t>
    <rPh sb="11" eb="14">
      <t>レンラクサキ</t>
    </rPh>
    <rPh sb="15" eb="17">
      <t>メイカク</t>
    </rPh>
    <phoneticPr fontId="1"/>
  </si>
  <si>
    <t>保守ベンダーの連絡先とサポート時間を把握できている</t>
    <rPh sb="18" eb="20">
      <t>ハアク</t>
    </rPh>
    <phoneticPr fontId="1"/>
  </si>
  <si>
    <t>開発ベンダーから保守ベンダーへの引き継ぎができている（手順書など）</t>
    <rPh sb="0" eb="2">
      <t>カイハツ</t>
    </rPh>
    <rPh sb="8" eb="10">
      <t>ホシュ</t>
    </rPh>
    <rPh sb="16" eb="17">
      <t>ヒ</t>
    </rPh>
    <rPh sb="18" eb="19">
      <t>ツ</t>
    </rPh>
    <rPh sb="27" eb="30">
      <t>テジュンショ</t>
    </rPh>
    <phoneticPr fontId="1"/>
  </si>
  <si>
    <t>保存期間は根拠のある期間となっている</t>
    <rPh sb="0" eb="2">
      <t>ホゾン</t>
    </rPh>
    <rPh sb="2" eb="4">
      <t>キカン</t>
    </rPh>
    <rPh sb="5" eb="7">
      <t>コンキョ</t>
    </rPh>
    <rPh sb="10" eb="12">
      <t>キカン</t>
    </rPh>
    <phoneticPr fontId="1"/>
  </si>
  <si>
    <t>保存期間に関して、ガイドラインや社内ルールを守れている</t>
    <rPh sb="0" eb="2">
      <t>ホゾン</t>
    </rPh>
    <rPh sb="2" eb="4">
      <t>キカン</t>
    </rPh>
    <rPh sb="5" eb="6">
      <t>カン</t>
    </rPh>
    <rPh sb="16" eb="18">
      <t>シャナイ</t>
    </rPh>
    <rPh sb="22" eb="23">
      <t>マモ</t>
    </rPh>
    <phoneticPr fontId="1"/>
  </si>
  <si>
    <t>保存期間を過ぎたログへの対応方法(削除、退避など)が妥当である</t>
    <rPh sb="0" eb="4">
      <t>ホゾンキカン</t>
    </rPh>
    <rPh sb="5" eb="6">
      <t>ス</t>
    </rPh>
    <rPh sb="12" eb="14">
      <t>タイオウ</t>
    </rPh>
    <rPh sb="14" eb="16">
      <t>ホウホウ</t>
    </rPh>
    <rPh sb="17" eb="19">
      <t>サクジョ</t>
    </rPh>
    <rPh sb="20" eb="22">
      <t>タイヒ</t>
    </rPh>
    <rPh sb="26" eb="28">
      <t>ダトウ</t>
    </rPh>
    <phoneticPr fontId="1"/>
  </si>
  <si>
    <t>バックアップの種類ごとに、以下が整理できている
・目的
・対象データ
・容量（圧縮、容量不足のアラートなどを考慮）
・管理者
・スケジュール
・ローテーション</t>
    <rPh sb="7" eb="9">
      <t>シュルイ</t>
    </rPh>
    <rPh sb="13" eb="15">
      <t>イカ</t>
    </rPh>
    <rPh sb="16" eb="18">
      <t>セイリ</t>
    </rPh>
    <rPh sb="25" eb="27">
      <t>モクテキ</t>
    </rPh>
    <rPh sb="29" eb="31">
      <t>タイショウ</t>
    </rPh>
    <rPh sb="36" eb="38">
      <t>ヨウリョウ</t>
    </rPh>
    <rPh sb="39" eb="41">
      <t>アッシュク</t>
    </rPh>
    <rPh sb="42" eb="44">
      <t>ヨウリョウ</t>
    </rPh>
    <rPh sb="44" eb="46">
      <t>ブソク</t>
    </rPh>
    <rPh sb="54" eb="56">
      <t>コウリョ</t>
    </rPh>
    <rPh sb="59" eb="62">
      <t>カンリシャ</t>
    </rPh>
    <phoneticPr fontId="1"/>
  </si>
  <si>
    <t>データの目的ごとに、適切な速度でリストアできるようになっている</t>
    <rPh sb="4" eb="6">
      <t>モクテキ</t>
    </rPh>
    <rPh sb="10" eb="12">
      <t>テキセツ</t>
    </rPh>
    <rPh sb="13" eb="15">
      <t>ソクド</t>
    </rPh>
    <phoneticPr fontId="1"/>
  </si>
  <si>
    <t>データの重要性や業務の変化に応じて、見直しが行われている</t>
    <rPh sb="18" eb="20">
      <t>ミナオ</t>
    </rPh>
    <rPh sb="22" eb="23">
      <t>オコナ</t>
    </rPh>
    <phoneticPr fontId="1"/>
  </si>
  <si>
    <t>2. 非機能要件の論点（A. 可用性・継続性）
　・RTO（復旧までの目標時間）を検討していること
　・RPO（復旧時に戻す基準時点）を検討していること
　・障害時の業務継続手段（代替運用、手動運用、暫定対応）の要否を検討していること
　・障害時にサービスを継続または復旧できる仕組みの要否を検討していること（冗長化、フェイルオーバー）
　・業務影響を検討していること
　・バックアップを検討していること</t>
    <phoneticPr fontId="1"/>
  </si>
  <si>
    <t>2. 非機能要件の論点（B. 性能・容量・拡張性）
　・性能目標を検討していること（Web応答時間〔目標値2秒以内〕、バッチ処理時間、スループット、同時実行数）
　・SQLに関する観点を検討していること（標準への整合、性能検証、チューニング）
　・DBリソースの考慮点を検討していること（テーブルスペース、メモリ、temp領域）
　・データ量と増加見込みを整理し、容量要件を検討していること</t>
    <phoneticPr fontId="1"/>
  </si>
  <si>
    <t>2. 非機能要件の論点（C. 監視・ログ運用）
　・監視条件を検討していること（監視対象、アラート条件、対応時間帯）
　・ログの出力先と参照方法が定義されていること（保存期間、参照権限）
　・障害時の切り分けに必要なログが出力されるよう検討していること
　・アラート発生時の連絡先を検討していること</t>
    <phoneticPr fontId="1"/>
  </si>
  <si>
    <t>2. 非機能要件の論点（D. 運用・保守性）
　・再実行（リラン）方式を検討していること（単純リラン、再実行時の整合性）
　・障害ポイントごとの復旧可否を検討していること（復旧手段、復旧手順）
　・障害時の運用手順を検討していること（ワークアラウンド、手動対応）
　・システムの管理項目を検討していること（運用中に管理すべき項目の洗い出し）
　・システム運用体制を検討していること（運用担当者と管理者の役割分担の明確化）
　・運用スケジュールを検討していること（日次・月次作業、定期・必要作業のリスト化）
　・JOB管理を検討していること（JOB管理資料更新、JOBネット図、リトライ設定）
　・システム起動停止手順を検討していること（手順・チェック表の準備、影響先の洗い出し）
　・障害時の役割分担、連絡先を検討していること
　・保守ベンダーへの連携を検討していること（連絡先・サポート時間の把握、引き継ぎ手順の整備）</t>
    <phoneticPr fontId="1"/>
  </si>
  <si>
    <t>2. 非機能要件の論点（E. 移行性・切替）
　・移行方式を検討していること（並行稼働、段階移行、一括切替）
　・移行作業を検討していること（手順書）
　・現行・新の比較・整合性確認（DBデータ、ファイル、帳票出力、連携結果）の計画を検討していること
　・切替・切戻し計画を検討していること（切戻し時の扱い：DB、ファイル、帳票出力、連携）</t>
    <phoneticPr fontId="1"/>
  </si>
  <si>
    <t>2. 非機能要件の論点（F. セキュリティ（アクセス制御・統制））
　・開発と運用の権限・役割が分離されていること（アカウント、権限範囲、操作経路）
　・API作成時に、マイクロサービスとしての位置づけを検討していること（公開範囲、依存関係）
　・ネットワークの通信経路により、データ参照範囲の限定を検討していること
　・機密・機微情報の取り扱いを検討していること（対象の特定、アクセス範囲の限定、マスキング〔Delphix/IM〕）</t>
    <phoneticPr fontId="1"/>
  </si>
  <si>
    <t>JOB管理</t>
  </si>
  <si>
    <t>リトライ機能が JP1/AJS3 の自動リトライ機能を用いる前提で検討されている</t>
    <phoneticPr fontId="1"/>
  </si>
  <si>
    <t>ログの内容が仕様どおりであることを、目視または grep で確認する。
・正常ケースでエラーが出力されていないこと
　※例（CloudWatch の場合）：WARN / ERROR / FATAL が出力されていないこと
・エラーケースで正しくエラーが出力されること
　※例（CloudWatch の場合）：ERROR または FATAL が出力されること
・ログレベルが設計どおりであること
　※例（CloudWatch の場合）：DEBUG、INFO、WARN、ERROR、FATAL</t>
    <phoneticPr fontId="1"/>
  </si>
  <si>
    <t>JOB管理</t>
    <phoneticPr fontId="1"/>
  </si>
  <si>
    <t>設計どおりにリトライ機能が設定され、想定どおりに動作することがテストで確認されている</t>
    <phoneticPr fontId="1"/>
  </si>
  <si>
    <t>フェーズ終了時</t>
    <rPh sb="4" eb="7">
      <t>シュウリョウジ</t>
    </rPh>
    <phoneticPr fontId="1"/>
  </si>
  <si>
    <t>業務影響（非機能要件）</t>
    <rPh sb="0" eb="2">
      <t>ギョウム</t>
    </rPh>
    <rPh sb="2" eb="4">
      <t>エイキョウ</t>
    </rPh>
    <rPh sb="5" eb="10">
      <t>ヒキノウヨウケン</t>
    </rPh>
    <phoneticPr fontId="1"/>
  </si>
  <si>
    <t>システムの管理項目（非機能要件）</t>
    <phoneticPr fontId="1"/>
  </si>
  <si>
    <t>システム運用体制（非機能要件）</t>
    <phoneticPr fontId="1"/>
  </si>
  <si>
    <t>運用スケジュール（非機能要件）</t>
    <phoneticPr fontId="1"/>
  </si>
  <si>
    <t>JOB管理（非機能要件）</t>
    <rPh sb="3" eb="5">
      <t>カンリ</t>
    </rPh>
    <phoneticPr fontId="1"/>
  </si>
  <si>
    <t>システム起動停止手順（非機能要件）</t>
    <rPh sb="4" eb="6">
      <t>キドウ</t>
    </rPh>
    <rPh sb="6" eb="10">
      <t>テイシテジュン</t>
    </rPh>
    <phoneticPr fontId="1"/>
  </si>
  <si>
    <t>リリース作業（非機能要件）</t>
    <phoneticPr fontId="1"/>
  </si>
  <si>
    <t>アラート発生時の連絡先（非機能要件）</t>
    <phoneticPr fontId="1"/>
  </si>
  <si>
    <t>障害発生時（非機能要件）</t>
    <phoneticPr fontId="1"/>
  </si>
  <si>
    <t>保守ベンダーへの連携（非機能要件）</t>
    <phoneticPr fontId="1"/>
  </si>
  <si>
    <t>ログ（非機能要件）</t>
    <phoneticPr fontId="1"/>
  </si>
  <si>
    <t>バックアップ（非機能要件）</t>
    <phoneticPr fontId="1"/>
  </si>
  <si>
    <t>コメント</t>
    <phoneticPr fontId="1"/>
  </si>
  <si>
    <t>2026/1/28</t>
    <phoneticPr fontId="14"/>
  </si>
  <si>
    <t>なお、当資料は開発課における内部規定であり、別途「ITシステム開発ガイドライン」に則った承認・証跡管理が必要な点に留意すること。</t>
    <rPh sb="3" eb="6">
      <t>トウシリョウ</t>
    </rPh>
    <rPh sb="7" eb="10">
      <t>カイハツカ</t>
    </rPh>
    <rPh sb="14" eb="16">
      <t>ナイブ</t>
    </rPh>
    <rPh sb="16" eb="18">
      <t>キテイ</t>
    </rPh>
    <rPh sb="22" eb="24">
      <t>ベット</t>
    </rPh>
    <rPh sb="31" eb="33">
      <t>カイハツ</t>
    </rPh>
    <rPh sb="41" eb="42">
      <t>ノット</t>
    </rPh>
    <rPh sb="44" eb="46">
      <t>ショウニン</t>
    </rPh>
    <rPh sb="47" eb="51">
      <t>ショウセキカンリ</t>
    </rPh>
    <rPh sb="52" eb="54">
      <t>ヒツヨウ</t>
    </rPh>
    <rPh sb="55" eb="56">
      <t>テン</t>
    </rPh>
    <rPh sb="57" eb="59">
      <t>リュウイ</t>
    </rPh>
    <phoneticPr fontId="1"/>
  </si>
  <si>
    <t>基本的な進め方は以下の通り。</t>
    <rPh sb="0" eb="3">
      <t>キホンテキ</t>
    </rPh>
    <rPh sb="4" eb="5">
      <t>スス</t>
    </rPh>
    <rPh sb="6" eb="7">
      <t>カタ</t>
    </rPh>
    <rPh sb="8" eb="10">
      <t>イカ</t>
    </rPh>
    <rPh sb="11" eb="12">
      <t>トオ</t>
    </rPh>
    <phoneticPr fontId="1"/>
  </si>
  <si>
    <t>　①プロジェクト開始時</t>
    <rPh sb="8" eb="11">
      <t>カイシジ</t>
    </rPh>
    <phoneticPr fontId="1"/>
  </si>
  <si>
    <t>　　　⇒MOに連絡し、プロセスチェックシートの最新版を受領する。</t>
    <rPh sb="7" eb="9">
      <t>レンラク</t>
    </rPh>
    <rPh sb="23" eb="26">
      <t>サイシンバン</t>
    </rPh>
    <rPh sb="27" eb="29">
      <t>ジュリョウ</t>
    </rPh>
    <phoneticPr fontId="1"/>
  </si>
  <si>
    <t>　②各工程開始前</t>
    <rPh sb="2" eb="5">
      <t>カクコウテイ</t>
    </rPh>
    <rPh sb="5" eb="7">
      <t>カイシ</t>
    </rPh>
    <rPh sb="7" eb="8">
      <t>マエ</t>
    </rPh>
    <phoneticPr fontId="1"/>
  </si>
  <si>
    <t>　③各工程の作業中</t>
    <rPh sb="2" eb="5">
      <t>カクコウテイ</t>
    </rPh>
    <rPh sb="6" eb="8">
      <t>サギョウ</t>
    </rPh>
    <rPh sb="8" eb="9">
      <t>ナカ</t>
    </rPh>
    <phoneticPr fontId="1"/>
  </si>
  <si>
    <t>　④各工程の終了時</t>
    <rPh sb="2" eb="5">
      <t>カクコウテイ</t>
    </rPh>
    <rPh sb="6" eb="8">
      <t>シュウリョウ</t>
    </rPh>
    <rPh sb="8" eb="9">
      <t>ジ</t>
    </rPh>
    <phoneticPr fontId="1"/>
  </si>
  <si>
    <t>担当者チェックおよび管理者チェックを行う際は、原則以下会議体にて実施する。</t>
    <rPh sb="0" eb="3">
      <t>タントウシャ</t>
    </rPh>
    <rPh sb="10" eb="13">
      <t>カンリシャ</t>
    </rPh>
    <rPh sb="18" eb="19">
      <t>オコナ</t>
    </rPh>
    <rPh sb="20" eb="21">
      <t>サイ</t>
    </rPh>
    <rPh sb="21" eb="22">
      <t>ジッサイ</t>
    </rPh>
    <rPh sb="23" eb="25">
      <t>ゲンソク</t>
    </rPh>
    <rPh sb="25" eb="27">
      <t>イカ</t>
    </rPh>
    <rPh sb="27" eb="30">
      <t>カイギタイ</t>
    </rPh>
    <rPh sb="32" eb="34">
      <t>ジッシ</t>
    </rPh>
    <phoneticPr fontId="1"/>
  </si>
  <si>
    <t>※プロジェクト規模・案件によっては管理者の判断において机上確認も可とする。</t>
    <rPh sb="7" eb="9">
      <t>キボ</t>
    </rPh>
    <rPh sb="10" eb="12">
      <t>アンケン</t>
    </rPh>
    <rPh sb="27" eb="29">
      <t>キジョウ</t>
    </rPh>
    <rPh sb="29" eb="31">
      <t>カクニン</t>
    </rPh>
    <rPh sb="32" eb="33">
      <t>カ</t>
    </rPh>
    <phoneticPr fontId="1"/>
  </si>
  <si>
    <t>担当者またはPMO</t>
    <rPh sb="0" eb="3">
      <t>タントウシャ</t>
    </rPh>
    <phoneticPr fontId="1"/>
  </si>
  <si>
    <t>担当者</t>
    <rPh sb="0" eb="3">
      <t>タントウシャ</t>
    </rPh>
    <phoneticPr fontId="1"/>
  </si>
  <si>
    <t>管理者</t>
    <rPh sb="0" eb="3">
      <t>カンリシャ</t>
    </rPh>
    <phoneticPr fontId="1"/>
  </si>
  <si>
    <t>承認者</t>
    <rPh sb="0" eb="3">
      <t>ショウニンシャ</t>
    </rPh>
    <phoneticPr fontId="1"/>
  </si>
  <si>
    <t>プロジェクト計画</t>
    <rPh sb="6" eb="8">
      <t>ケイカク</t>
    </rPh>
    <phoneticPr fontId="1"/>
  </si>
  <si>
    <t>開発部門責任者　or　担当マネージャー</t>
  </si>
  <si>
    <t>情報システム部門責任者</t>
  </si>
  <si>
    <t>リリース計画</t>
    <phoneticPr fontId="1"/>
  </si>
  <si>
    <t>開発部門責任者　or　担当マネージャー</t>
    <phoneticPr fontId="1"/>
  </si>
  <si>
    <t>ITテスト計画</t>
    <phoneticPr fontId="1"/>
  </si>
  <si>
    <t>要件定義</t>
    <phoneticPr fontId="1"/>
  </si>
  <si>
    <t>情報システム部門責任者</t>
    <phoneticPr fontId="1"/>
  </si>
  <si>
    <t>設計</t>
    <phoneticPr fontId="1"/>
  </si>
  <si>
    <t>開発・UT</t>
    <phoneticPr fontId="1"/>
  </si>
  <si>
    <t>UAT計画</t>
    <phoneticPr fontId="1"/>
  </si>
  <si>
    <t>開発部門責任者　or　担当マネージャー</t>
    <rPh sb="0" eb="2">
      <t>カイハツ</t>
    </rPh>
    <rPh sb="2" eb="4">
      <t>ブモン</t>
    </rPh>
    <rPh sb="4" eb="7">
      <t>セキニンシャ</t>
    </rPh>
    <rPh sb="11" eb="13">
      <t>タントウ</t>
    </rPh>
    <phoneticPr fontId="1"/>
  </si>
  <si>
    <t>IT受入</t>
    <phoneticPr fontId="1"/>
  </si>
  <si>
    <t>本番移行準備</t>
    <rPh sb="0" eb="4">
      <t>ホンバンイコウ</t>
    </rPh>
    <rPh sb="4" eb="6">
      <t>ジュンビ</t>
    </rPh>
    <phoneticPr fontId="1"/>
  </si>
  <si>
    <t>リリース</t>
    <phoneticPr fontId="1"/>
  </si>
  <si>
    <t>１．当資料の定義</t>
    <rPh sb="2" eb="3">
      <t>トウ</t>
    </rPh>
    <rPh sb="3" eb="5">
      <t>シリョウ</t>
    </rPh>
    <rPh sb="6" eb="8">
      <t>テイギ</t>
    </rPh>
    <phoneticPr fontId="1"/>
  </si>
  <si>
    <t>開発工程毎のチェックポイントを明確化し、開発工程全体の品質向上および障害発生の抑止を図る。</t>
    <rPh sb="2" eb="4">
      <t>コウテイ</t>
    </rPh>
    <rPh sb="4" eb="5">
      <t>マイ</t>
    </rPh>
    <phoneticPr fontId="1"/>
  </si>
  <si>
    <t>プロジェクトや保守案件にかかる開発プロセスのチェック状況を可視化し、管理・記録する。</t>
    <rPh sb="7" eb="11">
      <t>ホシュアンケン</t>
    </rPh>
    <phoneticPr fontId="1"/>
  </si>
  <si>
    <t>開発を進めるにあたり、次工程を見据えて考慮すべき事項をチェックリストとして整理したものである。</t>
    <rPh sb="0" eb="2">
      <t>カイハツ</t>
    </rPh>
    <rPh sb="3" eb="4">
      <t>スス</t>
    </rPh>
    <rPh sb="11" eb="14">
      <t>ジコウテイ</t>
    </rPh>
    <rPh sb="15" eb="17">
      <t>ミス</t>
    </rPh>
    <rPh sb="19" eb="21">
      <t>コウリョ</t>
    </rPh>
    <rPh sb="24" eb="26">
      <t>ジコウ</t>
    </rPh>
    <rPh sb="37" eb="39">
      <t>セイリ</t>
    </rPh>
    <phoneticPr fontId="1"/>
  </si>
  <si>
    <t>開発の進行に伴い各フェーズの開始時および終了時に、チェックリストに従って担当者および管理者がチェックを行う。</t>
    <rPh sb="0" eb="2">
      <t>カイハツ</t>
    </rPh>
    <rPh sb="3" eb="5">
      <t>シンコウ</t>
    </rPh>
    <rPh sb="6" eb="7">
      <t>トモナ</t>
    </rPh>
    <rPh sb="8" eb="9">
      <t>カク</t>
    </rPh>
    <rPh sb="14" eb="16">
      <t>カイシ</t>
    </rPh>
    <rPh sb="16" eb="17">
      <t>トキ</t>
    </rPh>
    <rPh sb="20" eb="22">
      <t>シュウリョウ</t>
    </rPh>
    <rPh sb="22" eb="23">
      <t>ジ</t>
    </rPh>
    <rPh sb="33" eb="34">
      <t>シタガ</t>
    </rPh>
    <rPh sb="36" eb="39">
      <t>タントウシャ</t>
    </rPh>
    <rPh sb="42" eb="45">
      <t>カンリシャ</t>
    </rPh>
    <rPh sb="51" eb="52">
      <t>オコナ</t>
    </rPh>
    <phoneticPr fontId="1"/>
  </si>
  <si>
    <t>これにより、対応漏れや考慮漏れを早期に発見し、成果物および品質のばらつきを抑制する。</t>
    <rPh sb="16" eb="18">
      <t>ソウキ</t>
    </rPh>
    <rPh sb="19" eb="21">
      <t>ハッケン</t>
    </rPh>
    <rPh sb="23" eb="26">
      <t>セイカブツ</t>
    </rPh>
    <rPh sb="37" eb="39">
      <t>ヨクセイ</t>
    </rPh>
    <phoneticPr fontId="1"/>
  </si>
  <si>
    <t>　　　⇒対象工程におけるプロセスチェックの内容を確認する。</t>
    <rPh sb="4" eb="6">
      <t>タイショウ</t>
    </rPh>
    <rPh sb="6" eb="8">
      <t>コウテイ</t>
    </rPh>
    <rPh sb="21" eb="23">
      <t>ナイヨウ</t>
    </rPh>
    <rPh sb="24" eb="26">
      <t>カクニン</t>
    </rPh>
    <phoneticPr fontId="1"/>
  </si>
  <si>
    <t>　　　　担当者がチェックリストを用いてチェックを行い、チェックが入らなかった項目については、必要に応じて対応する。(担当者チェック)</t>
    <rPh sb="4" eb="7">
      <t>タントウシャ</t>
    </rPh>
    <rPh sb="16" eb="17">
      <t>モチ</t>
    </rPh>
    <rPh sb="24" eb="25">
      <t>オコナ</t>
    </rPh>
    <rPh sb="32" eb="33">
      <t>ハイ</t>
    </rPh>
    <rPh sb="38" eb="40">
      <t>コウモク</t>
    </rPh>
    <rPh sb="46" eb="48">
      <t>ヒツヨウ</t>
    </rPh>
    <rPh sb="49" eb="50">
      <t>オウ</t>
    </rPh>
    <rPh sb="52" eb="54">
      <t>タイオウ</t>
    </rPh>
    <rPh sb="58" eb="61">
      <t>タントウシャ</t>
    </rPh>
    <phoneticPr fontId="1"/>
  </si>
  <si>
    <t>　　　　　※プロジェクトの特性上チェック不要の項目がある場合は、理由を明記のうえで対象外とする。</t>
    <rPh sb="13" eb="16">
      <t>トクセイジョウ</t>
    </rPh>
    <rPh sb="20" eb="22">
      <t>フヨウ</t>
    </rPh>
    <rPh sb="23" eb="25">
      <t>コウモク</t>
    </rPh>
    <rPh sb="28" eb="30">
      <t>バアイ</t>
    </rPh>
    <rPh sb="32" eb="34">
      <t>リユウ</t>
    </rPh>
    <rPh sb="35" eb="37">
      <t>メイキ</t>
    </rPh>
    <rPh sb="41" eb="44">
      <t>タイショウガイ</t>
    </rPh>
    <phoneticPr fontId="1"/>
  </si>
  <si>
    <t>　　　　担当者チェックの完了後、管理者がチェック内容を確認する。(管理者チェック)</t>
    <rPh sb="4" eb="7">
      <t>タントウシャ</t>
    </rPh>
    <rPh sb="12" eb="14">
      <t>カンリョウ</t>
    </rPh>
    <rPh sb="14" eb="15">
      <t>アト</t>
    </rPh>
    <rPh sb="16" eb="19">
      <t>カンリシャ</t>
    </rPh>
    <rPh sb="24" eb="26">
      <t>ナイヨウ</t>
    </rPh>
    <rPh sb="27" eb="29">
      <t>カクニン</t>
    </rPh>
    <rPh sb="33" eb="36">
      <t>カンリシャ</t>
    </rPh>
    <phoneticPr fontId="1"/>
  </si>
  <si>
    <t>　　　　　※必要に応じて事前に情報システム部門責任者へ状況報告を行う。(特にDB設計等を想定)</t>
    <rPh sb="6" eb="8">
      <t>ヒツヨウ</t>
    </rPh>
    <rPh sb="9" eb="10">
      <t>オウ</t>
    </rPh>
    <rPh sb="12" eb="14">
      <t>ジゼン</t>
    </rPh>
    <rPh sb="15" eb="17">
      <t>ジョウホウ</t>
    </rPh>
    <rPh sb="21" eb="23">
      <t>ブモン</t>
    </rPh>
    <rPh sb="23" eb="26">
      <t>セキニンシャ</t>
    </rPh>
    <rPh sb="27" eb="29">
      <t>ジョウキョウ</t>
    </rPh>
    <rPh sb="29" eb="31">
      <t>ホウコク</t>
    </rPh>
    <rPh sb="32" eb="33">
      <t>オコナ</t>
    </rPh>
    <rPh sb="36" eb="37">
      <t>トク</t>
    </rPh>
    <rPh sb="40" eb="42">
      <t>セッケイ</t>
    </rPh>
    <rPh sb="42" eb="43">
      <t>ナド</t>
    </rPh>
    <rPh sb="44" eb="46">
      <t>ソウテイ</t>
    </rPh>
    <phoneticPr fontId="1"/>
  </si>
  <si>
    <t>　　　⇒工程が完了したことを管理者から承認者へ報告・説明。</t>
    <rPh sb="4" eb="6">
      <t>コウテイ</t>
    </rPh>
    <rPh sb="7" eb="9">
      <t>カンリョウ</t>
    </rPh>
    <rPh sb="14" eb="17">
      <t>カンリシャ</t>
    </rPh>
    <rPh sb="19" eb="22">
      <t>ショウニンシャ</t>
    </rPh>
    <rPh sb="23" eb="25">
      <t>ホウコク</t>
    </rPh>
    <rPh sb="26" eb="28">
      <t>セツメイ</t>
    </rPh>
    <phoneticPr fontId="1"/>
  </si>
  <si>
    <t>　　　  必要に応じてプロセスチェックシートの内容の詳細や、各工程での実施内容を報告する。</t>
    <rPh sb="5" eb="7">
      <t>ヒツヨウ</t>
    </rPh>
    <rPh sb="8" eb="9">
      <t>オウ</t>
    </rPh>
    <rPh sb="23" eb="25">
      <t>ナイヨウ</t>
    </rPh>
    <rPh sb="26" eb="28">
      <t>ショウサイ</t>
    </rPh>
    <rPh sb="30" eb="33">
      <t>カクコウテイ</t>
    </rPh>
    <rPh sb="35" eb="37">
      <t>ジッシ</t>
    </rPh>
    <rPh sb="37" eb="39">
      <t>ナイヨウ</t>
    </rPh>
    <rPh sb="40" eb="42">
      <t>ホウコク</t>
    </rPh>
    <phoneticPr fontId="1"/>
  </si>
  <si>
    <t>＜チェック実施時の会議体＞</t>
    <rPh sb="5" eb="8">
      <t>ジッシジ</t>
    </rPh>
    <rPh sb="9" eb="11">
      <t>カイギ</t>
    </rPh>
    <rPh sb="11" eb="12">
      <t>タイ</t>
    </rPh>
    <phoneticPr fontId="1"/>
  </si>
  <si>
    <t>２．本資料における役割の定義</t>
    <rPh sb="2" eb="3">
      <t>ホン</t>
    </rPh>
    <rPh sb="3" eb="5">
      <t>シリョウ</t>
    </rPh>
    <rPh sb="9" eb="11">
      <t>ヤクワリ</t>
    </rPh>
    <rPh sb="12" eb="14">
      <t>テイギ</t>
    </rPh>
    <phoneticPr fontId="1"/>
  </si>
  <si>
    <t>全てのフェーズでプロセスゲートの承認者が確定されているか（「定義・役割」シート参照）</t>
    <rPh sb="0" eb="1">
      <t>スベ</t>
    </rPh>
    <rPh sb="16" eb="19">
      <t>ショウニンシャ</t>
    </rPh>
    <rPh sb="20" eb="22">
      <t>カクテイ</t>
    </rPh>
    <rPh sb="30" eb="32">
      <t>テイギ</t>
    </rPh>
    <rPh sb="33" eb="35">
      <t>ヤクワリ</t>
    </rPh>
    <rPh sb="39" eb="41">
      <t>サンショウ</t>
    </rPh>
    <phoneticPr fontId="1"/>
  </si>
  <si>
    <t>開発ガイドラインとの整合性</t>
    <rPh sb="0" eb="2">
      <t>カイハツ</t>
    </rPh>
    <rPh sb="10" eb="13">
      <t>セイゴウセイ</t>
    </rPh>
    <phoneticPr fontId="1"/>
  </si>
  <si>
    <t>「ITシステム開発ガイドライン」に則った承認証跡取得が計画されているか</t>
    <rPh sb="17" eb="18">
      <t>ノット</t>
    </rPh>
    <rPh sb="20" eb="24">
      <t>ショウニンショウセキ</t>
    </rPh>
    <rPh sb="24" eb="26">
      <t>シュトク</t>
    </rPh>
    <rPh sb="27" eb="29">
      <t>ケイカク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</si>
</sst>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sz val="11"/>
      <color theme="1"/>
      <name val="游ゴシック"/>
      <family val="3"/>
      <charset val="128"/>
      <scheme val="minor"/>
    </font>
    <font>
      <sz val="11"/>
      <name val="游ゴシック"/>
      <family val="3"/>
      <charset val="128"/>
      <scheme val="minor"/>
    </font>
    <font>
      <sz val="8"/>
      <name val="游ゴシック"/>
      <family val="3"/>
      <charset val="128"/>
      <scheme val="minor"/>
    </font>
    <font>
      <b/>
      <sz val="12"/>
      <color theme="0"/>
      <name val="游ゴシック"/>
      <family val="3"/>
      <charset val="128"/>
      <scheme val="minor"/>
    </font>
    <font>
      <sz val="11"/>
      <name val="ＭＳ Ｐゴシック"/>
      <family val="3"/>
      <charset val="128"/>
    </font>
    <font>
      <sz val="11"/>
      <name val="Meiryo UI"/>
      <family val="3"/>
      <charset val="128"/>
    </font>
    <font>
      <u/>
      <sz val="11"/>
      <name val="Meiryo UI"/>
      <family val="3"/>
      <charset val="128"/>
    </font>
    <font>
      <sz val="6"/>
      <name val="ＭＳ ゴシック"/>
      <family val="3"/>
      <charset val="128"/>
    </font>
    <font>
      <sz val="9"/>
      <name val="Meiryo UI"/>
      <family val="3"/>
      <charset val="128"/>
    </font>
    <font>
      <sz val="9"/>
      <name val="ＭＳ ゴシック"/>
      <family val="3"/>
      <charset val="128"/>
    </font>
    <font>
      <b/>
      <sz val="24"/>
      <name val="Meiryo UI"/>
      <family val="3"/>
      <charset val="128"/>
    </font>
    <font>
      <sz val="6"/>
      <name val="ＭＳ Ｐゴシック"/>
      <family val="3"/>
      <charset val="128"/>
    </font>
    <font>
      <b/>
      <sz val="12"/>
      <name val="Meiryo UI"/>
      <family val="3"/>
      <charset val="128"/>
    </font>
    <font>
      <b/>
      <sz val="20"/>
      <name val="Meiryo UI"/>
      <family val="3"/>
      <charset val="128"/>
    </font>
    <font>
      <b/>
      <sz val="9"/>
      <color indexed="9"/>
      <name val="Meiryo UI"/>
      <family val="3"/>
      <charset val="128"/>
    </font>
    <font>
      <b/>
      <sz val="9"/>
      <name val="Meiryo UI"/>
      <family val="3"/>
      <charset val="128"/>
    </font>
    <font>
      <b/>
      <sz val="11"/>
      <name val="Meiryo UI"/>
      <family val="3"/>
      <charset val="128"/>
    </font>
    <font>
      <b/>
      <sz val="11"/>
      <color theme="1" tint="0.249977111117893"/>
      <name val="メイリオ"/>
      <family val="3"/>
      <charset val="128"/>
    </font>
    <font>
      <sz val="11"/>
      <color theme="1"/>
      <name val="メイリオ"/>
      <family val="3"/>
      <charset val="128"/>
    </font>
    <font>
      <b/>
      <sz val="11"/>
      <color theme="1"/>
      <name val="メイリオ"/>
      <family val="3"/>
      <charset val="128"/>
    </font>
    <font>
      <u/>
      <sz val="11"/>
      <color rgb="FF0070C0"/>
      <name val="メイリオ"/>
      <family val="3"/>
      <charset val="128"/>
    </font>
    <font>
      <b/>
      <sz val="11"/>
      <color theme="0"/>
      <name val="メイリオ"/>
      <family val="3"/>
      <charset val="128"/>
    </font>
    <font>
      <sz val="9"/>
      <color theme="1"/>
      <name val="メイリオ"/>
      <family val="3"/>
      <charset val="128"/>
    </font>
    <font>
      <u/>
      <sz val="9"/>
      <color theme="1"/>
      <name val="メイリオ"/>
      <family val="3"/>
      <charset val="128"/>
    </font>
    <font>
      <sz val="11"/>
      <name val="游ゴシック"/>
      <family val="3"/>
      <charset val="128"/>
    </font>
    <font>
      <sz val="11"/>
      <color theme="0" tint="-0.34998626667073579"/>
      <name val="游ゴシック"/>
      <family val="3"/>
      <charset val="128"/>
      <scheme val="minor"/>
    </font>
    <font>
      <sz val="11"/>
      <color theme="0" tint="-0.249977111117893"/>
      <name val="游ゴシック"/>
      <family val="3"/>
      <charset val="128"/>
      <scheme val="minor"/>
    </font>
    <font>
      <sz val="10"/>
      <name val="游ゴシック"/>
      <family val="3"/>
      <charset val="128"/>
      <scheme val="minor"/>
    </font>
    <font>
      <sz val="6"/>
      <name val="Yu Gothic UI"/>
      <family val="2"/>
      <charset val="128"/>
    </font>
    <font>
      <b/>
      <sz val="11"/>
      <name val="メイリオ"/>
      <family val="3"/>
      <charset val="128"/>
    </font>
    <font>
      <sz val="11"/>
      <name val="メイリオ"/>
      <family val="3"/>
      <charset val="128"/>
    </font>
    <font>
      <b/>
      <sz val="9"/>
      <name val="メイリオ"/>
      <family val="3"/>
      <charset val="128"/>
    </font>
    <font>
      <sz val="10"/>
      <name val="メイリオ"/>
      <family val="3"/>
      <charset val="128"/>
    </font>
  </fonts>
  <fills count="7">
    <fill>
      <patternFill patternType="none"/>
    </fill>
    <fill>
      <patternFill patternType="gray125"/>
    </fill>
    <fill>
      <patternFill patternType="solid">
        <fgColor theme="8"/>
        <bgColor indexed="64"/>
      </patternFill>
    </fill>
    <fill>
      <patternFill patternType="solid">
        <fgColor rgb="FF0070C0"/>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indexed="64"/>
      </patternFill>
    </fill>
  </fills>
  <borders count="5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style="thin">
        <color theme="0" tint="-0.34998626667073579"/>
      </right>
      <top style="hair">
        <color theme="0" tint="-0.34998626667073579"/>
      </top>
      <bottom style="thin">
        <color theme="0" tint="-0.34998626667073579"/>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theme="1" tint="0.24994659260841701"/>
      </left>
      <right/>
      <top style="thin">
        <color theme="1" tint="0.24994659260841701"/>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24994659260841701"/>
      </left>
      <right style="thin">
        <color theme="1" tint="0.24994659260841701"/>
      </right>
      <top style="thin">
        <color theme="1" tint="0.24994659260841701"/>
      </top>
      <bottom style="thin">
        <color indexed="64"/>
      </bottom>
      <diagonal/>
    </border>
    <border>
      <left/>
      <right/>
      <top/>
      <bottom style="thin">
        <color theme="1" tint="0.24994659260841701"/>
      </bottom>
      <diagonal/>
    </border>
    <border>
      <left/>
      <right style="thin">
        <color theme="1" tint="0.24994659260841701"/>
      </right>
      <top/>
      <bottom style="thin">
        <color theme="1" tint="0.24994659260841701"/>
      </bottom>
      <diagonal/>
    </border>
    <border>
      <left/>
      <right/>
      <top style="thin">
        <color theme="1" tint="0.24994659260841701"/>
      </top>
      <bottom style="thin">
        <color theme="1" tint="0.24994659260841701"/>
      </bottom>
      <diagonal/>
    </border>
    <border>
      <left style="thin">
        <color theme="1" tint="0.24994659260841701"/>
      </left>
      <right style="thin">
        <color theme="1" tint="0.24994659260841701"/>
      </right>
      <top style="thin">
        <color theme="1" tint="0.24994659260841701"/>
      </top>
      <bottom style="hair">
        <color theme="1" tint="0.24994659260841701"/>
      </bottom>
      <diagonal/>
    </border>
    <border>
      <left style="thin">
        <color theme="1" tint="0.24994659260841701"/>
      </left>
      <right/>
      <top style="thin">
        <color theme="1" tint="0.24994659260841701"/>
      </top>
      <bottom style="hair">
        <color theme="1" tint="0.24994659260841701"/>
      </bottom>
      <diagonal/>
    </border>
    <border>
      <left style="thin">
        <color theme="1" tint="0.24994659260841701"/>
      </left>
      <right style="thin">
        <color theme="1" tint="0.24994659260841701"/>
      </right>
      <top style="hair">
        <color theme="1" tint="0.24994659260841701"/>
      </top>
      <bottom style="hair">
        <color theme="1" tint="0.24994659260841701"/>
      </bottom>
      <diagonal/>
    </border>
    <border>
      <left style="thin">
        <color theme="1" tint="0.24994659260841701"/>
      </left>
      <right/>
      <top style="hair">
        <color theme="1" tint="0.24994659260841701"/>
      </top>
      <bottom style="hair">
        <color theme="1" tint="0.24994659260841701"/>
      </bottom>
      <diagonal/>
    </border>
    <border>
      <left style="thin">
        <color theme="1" tint="0.24994659260841701"/>
      </left>
      <right style="thin">
        <color theme="1" tint="0.24994659260841701"/>
      </right>
      <top style="hair">
        <color theme="1" tint="0.24994659260841701"/>
      </top>
      <bottom style="thin">
        <color theme="1" tint="0.24994659260841701"/>
      </bottom>
      <diagonal/>
    </border>
    <border>
      <left style="thin">
        <color theme="1" tint="0.24994659260841701"/>
      </left>
      <right/>
      <top style="hair">
        <color theme="1" tint="0.24994659260841701"/>
      </top>
      <bottom style="thin">
        <color theme="1" tint="0.24994659260841701"/>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style="thin">
        <color theme="0" tint="-0.34998626667073579"/>
      </top>
      <bottom style="hair">
        <color theme="0" tint="-0.34998626667073579"/>
      </bottom>
      <diagonal/>
    </border>
    <border>
      <left style="thin">
        <color theme="0" tint="-0.34998626667073579"/>
      </left>
      <right style="thin">
        <color theme="0" tint="-0.34998626667073579"/>
      </right>
      <top/>
      <bottom style="hair">
        <color theme="0" tint="-0.34998626667073579"/>
      </bottom>
      <diagonal/>
    </border>
  </borders>
  <cellStyleXfs count="3">
    <xf numFmtId="0" fontId="0" fillId="0" borderId="0">
      <alignment vertical="center"/>
    </xf>
    <xf numFmtId="0" fontId="7" fillId="0" borderId="0"/>
    <xf numFmtId="0" fontId="12" fillId="0" borderId="0"/>
  </cellStyleXfs>
  <cellXfs count="192">
    <xf numFmtId="0" fontId="0" fillId="0" borderId="0" xfId="0">
      <alignment vertical="center"/>
    </xf>
    <xf numFmtId="0" fontId="3" fillId="0" borderId="0" xfId="0" applyFont="1" applyAlignment="1">
      <alignment horizontal="left" vertical="top"/>
    </xf>
    <xf numFmtId="0" fontId="3" fillId="0" borderId="0" xfId="0" applyFont="1" applyAlignment="1">
      <alignment horizontal="center" vertical="top"/>
    </xf>
    <xf numFmtId="0" fontId="6" fillId="2" borderId="3" xfId="0" applyFont="1" applyFill="1" applyBorder="1" applyAlignment="1">
      <alignment horizontal="center" vertical="top"/>
    </xf>
    <xf numFmtId="0" fontId="6" fillId="2" borderId="7" xfId="0" applyFont="1" applyFill="1" applyBorder="1" applyAlignment="1">
      <alignment vertical="top"/>
    </xf>
    <xf numFmtId="0" fontId="6" fillId="2" borderId="4" xfId="0" applyFont="1" applyFill="1" applyBorder="1" applyAlignment="1">
      <alignment horizontal="center" vertical="top"/>
    </xf>
    <xf numFmtId="0" fontId="2" fillId="2" borderId="0" xfId="0" applyFont="1" applyFill="1" applyAlignment="1">
      <alignment horizontal="center" vertical="top"/>
    </xf>
    <xf numFmtId="0" fontId="6" fillId="2" borderId="3" xfId="0" applyFont="1" applyFill="1" applyBorder="1" applyAlignment="1">
      <alignment horizontal="center" vertical="top" wrapText="1"/>
    </xf>
    <xf numFmtId="0" fontId="6" fillId="2" borderId="9" xfId="0" applyFont="1" applyFill="1" applyBorder="1" applyAlignment="1">
      <alignment vertical="top"/>
    </xf>
    <xf numFmtId="0" fontId="3" fillId="0" borderId="0" xfId="0" applyFont="1" applyAlignment="1">
      <alignment horizontal="left" vertical="top" wrapText="1"/>
    </xf>
    <xf numFmtId="0" fontId="6" fillId="2" borderId="3" xfId="0" applyFont="1" applyFill="1" applyBorder="1" applyAlignment="1">
      <alignment vertical="top" wrapText="1"/>
    </xf>
    <xf numFmtId="0" fontId="6" fillId="2" borderId="4" xfId="0" applyFont="1" applyFill="1" applyBorder="1" applyAlignment="1">
      <alignment vertical="top" wrapText="1"/>
    </xf>
    <xf numFmtId="0" fontId="8" fillId="0" borderId="0" xfId="1" applyFont="1"/>
    <xf numFmtId="49" fontId="9" fillId="0" borderId="0" xfId="1" applyNumberFormat="1" applyFont="1"/>
    <xf numFmtId="49" fontId="8" fillId="0" borderId="0" xfId="1" applyNumberFormat="1" applyFont="1"/>
    <xf numFmtId="0" fontId="11" fillId="0" borderId="0" xfId="1" applyFont="1"/>
    <xf numFmtId="0" fontId="11" fillId="0" borderId="0" xfId="2" applyFont="1"/>
    <xf numFmtId="0" fontId="15" fillId="0" borderId="0" xfId="2" applyFont="1" applyAlignment="1">
      <alignment horizontal="centerContinuous"/>
    </xf>
    <xf numFmtId="0" fontId="11" fillId="0" borderId="0" xfId="2" applyFont="1" applyAlignment="1">
      <alignment horizontal="centerContinuous"/>
    </xf>
    <xf numFmtId="0" fontId="16" fillId="0" borderId="0" xfId="2" applyFont="1" applyAlignment="1">
      <alignment horizontal="centerContinuous"/>
    </xf>
    <xf numFmtId="0" fontId="11" fillId="0" borderId="0" xfId="1" applyFont="1" applyAlignment="1">
      <alignment horizontal="left"/>
    </xf>
    <xf numFmtId="0" fontId="8" fillId="0" borderId="13" xfId="1" applyFont="1" applyBorder="1"/>
    <xf numFmtId="0" fontId="11" fillId="0" borderId="14" xfId="1" applyFont="1" applyBorder="1" applyAlignment="1">
      <alignment horizontal="left"/>
    </xf>
    <xf numFmtId="0" fontId="11" fillId="0" borderId="15" xfId="1" applyFont="1" applyBorder="1" applyAlignment="1">
      <alignment horizontal="left"/>
    </xf>
    <xf numFmtId="49" fontId="8" fillId="0" borderId="14" xfId="1" applyNumberFormat="1" applyFont="1" applyBorder="1" applyAlignment="1">
      <alignment horizontal="left" vertical="center"/>
    </xf>
    <xf numFmtId="49" fontId="11" fillId="0" borderId="14" xfId="1" applyNumberFormat="1" applyFont="1" applyBorder="1" applyAlignment="1">
      <alignment horizontal="left" vertical="center"/>
    </xf>
    <xf numFmtId="49" fontId="11" fillId="0" borderId="16" xfId="1" applyNumberFormat="1" applyFont="1" applyBorder="1" applyAlignment="1">
      <alignment horizontal="left" vertical="center"/>
    </xf>
    <xf numFmtId="0" fontId="11" fillId="0" borderId="17" xfId="1" applyFont="1" applyBorder="1"/>
    <xf numFmtId="0" fontId="11" fillId="0" borderId="18" xfId="1" applyFont="1" applyBorder="1" applyAlignment="1">
      <alignment horizontal="left"/>
    </xf>
    <xf numFmtId="0" fontId="11" fillId="0" borderId="19" xfId="1" applyFont="1" applyBorder="1" applyAlignment="1">
      <alignment horizontal="left"/>
    </xf>
    <xf numFmtId="49" fontId="8" fillId="0" borderId="18" xfId="1" applyNumberFormat="1" applyFont="1" applyBorder="1" applyAlignment="1">
      <alignment horizontal="left" vertical="center"/>
    </xf>
    <xf numFmtId="49" fontId="11" fillId="0" borderId="18" xfId="1" applyNumberFormat="1" applyFont="1" applyBorder="1" applyAlignment="1">
      <alignment horizontal="left" vertical="center"/>
    </xf>
    <xf numFmtId="49" fontId="11" fillId="0" borderId="0" xfId="1" applyNumberFormat="1" applyFont="1" applyAlignment="1">
      <alignment horizontal="left" vertical="center"/>
    </xf>
    <xf numFmtId="49" fontId="11" fillId="0" borderId="20" xfId="1" applyNumberFormat="1" applyFont="1" applyBorder="1" applyAlignment="1">
      <alignment horizontal="left" vertical="center"/>
    </xf>
    <xf numFmtId="0" fontId="8" fillId="0" borderId="21" xfId="1" applyFont="1" applyBorder="1"/>
    <xf numFmtId="0" fontId="11" fillId="0" borderId="22" xfId="1" applyFont="1" applyBorder="1" applyAlignment="1">
      <alignment horizontal="left"/>
    </xf>
    <xf numFmtId="0" fontId="11" fillId="0" borderId="23" xfId="1" applyFont="1" applyBorder="1" applyAlignment="1">
      <alignment horizontal="left"/>
    </xf>
    <xf numFmtId="49" fontId="8" fillId="0" borderId="22" xfId="1" applyNumberFormat="1" applyFont="1" applyBorder="1" applyAlignment="1">
      <alignment horizontal="left" vertical="center"/>
    </xf>
    <xf numFmtId="49" fontId="11" fillId="0" borderId="22" xfId="1" applyNumberFormat="1" applyFont="1" applyBorder="1" applyAlignment="1">
      <alignment horizontal="left" vertical="center"/>
    </xf>
    <xf numFmtId="49" fontId="11" fillId="0" borderId="24" xfId="1" applyNumberFormat="1" applyFont="1" applyBorder="1" applyAlignment="1">
      <alignment horizontal="left" vertical="center"/>
    </xf>
    <xf numFmtId="49" fontId="11" fillId="0" borderId="25" xfId="1" applyNumberFormat="1" applyFont="1" applyBorder="1" applyAlignment="1">
      <alignment horizontal="left" vertical="center"/>
    </xf>
    <xf numFmtId="0" fontId="8" fillId="0" borderId="26" xfId="1" applyFont="1" applyBorder="1"/>
    <xf numFmtId="0" fontId="11" fillId="0" borderId="27" xfId="1" applyFont="1" applyBorder="1" applyAlignment="1">
      <alignment horizontal="left"/>
    </xf>
    <xf numFmtId="49" fontId="8" fillId="0" borderId="0" xfId="1" applyNumberFormat="1" applyFont="1" applyAlignment="1">
      <alignment horizontal="left" vertical="center"/>
    </xf>
    <xf numFmtId="0" fontId="11" fillId="0" borderId="28" xfId="1" applyFont="1" applyBorder="1"/>
    <xf numFmtId="0" fontId="11" fillId="0" borderId="29" xfId="1" applyFont="1" applyBorder="1" applyAlignment="1">
      <alignment horizontal="left"/>
    </xf>
    <xf numFmtId="0" fontId="11" fillId="0" borderId="30" xfId="1" applyFont="1" applyBorder="1" applyAlignment="1">
      <alignment horizontal="left"/>
    </xf>
    <xf numFmtId="49" fontId="11" fillId="0" borderId="29" xfId="1" applyNumberFormat="1" applyFont="1" applyBorder="1" applyAlignment="1">
      <alignment horizontal="left" vertical="center"/>
    </xf>
    <xf numFmtId="49" fontId="11" fillId="0" borderId="31" xfId="1" applyNumberFormat="1" applyFont="1" applyBorder="1" applyAlignment="1">
      <alignment horizontal="left" vertical="center"/>
    </xf>
    <xf numFmtId="0" fontId="17" fillId="3" borderId="32" xfId="1" applyFont="1" applyFill="1" applyBorder="1" applyAlignment="1">
      <alignment horizontal="centerContinuous"/>
    </xf>
    <xf numFmtId="0" fontId="18" fillId="3" borderId="33" xfId="1" applyFont="1" applyFill="1" applyBorder="1" applyAlignment="1">
      <alignment horizontal="centerContinuous"/>
    </xf>
    <xf numFmtId="0" fontId="17" fillId="3" borderId="34" xfId="1" applyFont="1" applyFill="1" applyBorder="1" applyAlignment="1">
      <alignment horizontal="centerContinuous"/>
    </xf>
    <xf numFmtId="0" fontId="17" fillId="3" borderId="33" xfId="1" applyFont="1" applyFill="1" applyBorder="1" applyAlignment="1">
      <alignment horizontal="centerContinuous"/>
    </xf>
    <xf numFmtId="0" fontId="17" fillId="3" borderId="35" xfId="1" applyFont="1" applyFill="1" applyBorder="1" applyAlignment="1">
      <alignment horizontal="centerContinuous"/>
    </xf>
    <xf numFmtId="0" fontId="19" fillId="3" borderId="36" xfId="1" applyFont="1" applyFill="1" applyBorder="1" applyAlignment="1">
      <alignment horizontal="centerContinuous"/>
    </xf>
    <xf numFmtId="49" fontId="11" fillId="0" borderId="26" xfId="1" applyNumberFormat="1" applyFont="1" applyBorder="1" applyAlignment="1">
      <alignment horizontal="left" vertical="center"/>
    </xf>
    <xf numFmtId="49" fontId="11" fillId="0" borderId="15" xfId="1" applyNumberFormat="1" applyFont="1" applyBorder="1" applyAlignment="1">
      <alignment horizontal="left" vertical="center"/>
    </xf>
    <xf numFmtId="49" fontId="11" fillId="0" borderId="37" xfId="1" applyNumberFormat="1" applyFont="1" applyBorder="1" applyAlignment="1">
      <alignment horizontal="left" vertical="center"/>
    </xf>
    <xf numFmtId="49" fontId="8" fillId="0" borderId="20" xfId="1" applyNumberFormat="1" applyFont="1" applyBorder="1" applyAlignment="1">
      <alignment horizontal="left" vertical="center"/>
    </xf>
    <xf numFmtId="49" fontId="11" fillId="0" borderId="27" xfId="1" applyNumberFormat="1" applyFont="1" applyBorder="1" applyAlignment="1">
      <alignment horizontal="left" vertical="center"/>
    </xf>
    <xf numFmtId="49" fontId="11" fillId="0" borderId="38" xfId="1" applyNumberFormat="1" applyFont="1" applyBorder="1" applyAlignment="1">
      <alignment horizontal="left" vertical="center"/>
    </xf>
    <xf numFmtId="49" fontId="11" fillId="0" borderId="26" xfId="1" applyNumberFormat="1" applyFont="1" applyBorder="1" applyAlignment="1">
      <alignment vertical="center"/>
    </xf>
    <xf numFmtId="49" fontId="11" fillId="0" borderId="0" xfId="1" applyNumberFormat="1" applyFont="1" applyAlignment="1">
      <alignment vertical="center"/>
    </xf>
    <xf numFmtId="49" fontId="11" fillId="0" borderId="27" xfId="1" applyNumberFormat="1" applyFont="1" applyBorder="1" applyAlignment="1">
      <alignment vertical="center"/>
    </xf>
    <xf numFmtId="49" fontId="11" fillId="0" borderId="38" xfId="1" applyNumberFormat="1" applyFont="1" applyBorder="1" applyAlignment="1">
      <alignment vertical="center"/>
    </xf>
    <xf numFmtId="49" fontId="8" fillId="0" borderId="20" xfId="1" applyNumberFormat="1" applyFont="1" applyBorder="1" applyAlignment="1">
      <alignment vertical="center"/>
    </xf>
    <xf numFmtId="49" fontId="8" fillId="0" borderId="0" xfId="1" applyNumberFormat="1" applyFont="1" applyAlignment="1">
      <alignment vertical="center"/>
    </xf>
    <xf numFmtId="49" fontId="8" fillId="0" borderId="27" xfId="1" applyNumberFormat="1" applyFont="1" applyBorder="1" applyAlignment="1">
      <alignment vertical="center"/>
    </xf>
    <xf numFmtId="49" fontId="8" fillId="0" borderId="26" xfId="1" applyNumberFormat="1" applyFont="1" applyBorder="1" applyAlignment="1">
      <alignment vertical="center"/>
    </xf>
    <xf numFmtId="49" fontId="11" fillId="0" borderId="28" xfId="1" applyNumberFormat="1" applyFont="1" applyBorder="1" applyAlignment="1">
      <alignment vertical="center"/>
    </xf>
    <xf numFmtId="49" fontId="11" fillId="0" borderId="29" xfId="1" applyNumberFormat="1" applyFont="1" applyBorder="1" applyAlignment="1">
      <alignment vertical="center"/>
    </xf>
    <xf numFmtId="49" fontId="11" fillId="0" borderId="30" xfId="1" applyNumberFormat="1" applyFont="1" applyBorder="1" applyAlignment="1">
      <alignment vertical="center"/>
    </xf>
    <xf numFmtId="49" fontId="11" fillId="0" borderId="39" xfId="1" applyNumberFormat="1" applyFont="1" applyBorder="1" applyAlignment="1">
      <alignment vertical="center"/>
    </xf>
    <xf numFmtId="49" fontId="8" fillId="0" borderId="31" xfId="1" applyNumberFormat="1" applyFont="1" applyBorder="1" applyAlignment="1">
      <alignment vertical="center"/>
    </xf>
    <xf numFmtId="0" fontId="20" fillId="0" borderId="0" xfId="0" applyFont="1">
      <alignment vertical="center"/>
    </xf>
    <xf numFmtId="0" fontId="21" fillId="0" borderId="0" xfId="0" applyFont="1">
      <alignment vertical="center"/>
    </xf>
    <xf numFmtId="0" fontId="21" fillId="0" borderId="0" xfId="0" applyFont="1" applyAlignment="1">
      <alignment horizontal="left" vertical="center" wrapText="1"/>
    </xf>
    <xf numFmtId="0" fontId="22" fillId="0" borderId="0" xfId="0" applyFont="1">
      <alignment vertical="center"/>
    </xf>
    <xf numFmtId="0" fontId="25" fillId="0" borderId="43" xfId="0" applyFont="1" applyBorder="1" applyAlignment="1">
      <alignment horizontal="left" vertical="top" wrapText="1"/>
    </xf>
    <xf numFmtId="0" fontId="25" fillId="0" borderId="44" xfId="0" applyFont="1" applyBorder="1" applyAlignment="1">
      <alignment horizontal="left" vertical="top" wrapText="1"/>
    </xf>
    <xf numFmtId="0" fontId="25" fillId="0" borderId="43" xfId="0" applyFont="1" applyBorder="1" applyAlignment="1">
      <alignment vertical="top" wrapText="1"/>
    </xf>
    <xf numFmtId="0" fontId="25" fillId="0" borderId="42" xfId="0" applyFont="1" applyBorder="1" applyAlignment="1">
      <alignment vertical="top" wrapText="1"/>
    </xf>
    <xf numFmtId="0" fontId="25" fillId="0" borderId="45" xfId="0" applyFont="1" applyBorder="1" applyAlignment="1">
      <alignment vertical="top" wrapText="1"/>
    </xf>
    <xf numFmtId="0" fontId="25" fillId="0" borderId="0" xfId="0" applyFont="1" applyAlignment="1">
      <alignment horizontal="left" vertical="center" wrapText="1"/>
    </xf>
    <xf numFmtId="0" fontId="21" fillId="0" borderId="46" xfId="0" applyFont="1" applyBorder="1" applyAlignment="1">
      <alignment horizontal="left" vertical="center" wrapText="1"/>
    </xf>
    <xf numFmtId="0" fontId="21" fillId="0" borderId="0" xfId="0" applyFont="1" applyAlignment="1">
      <alignment horizontal="left" vertical="center"/>
    </xf>
    <xf numFmtId="0" fontId="11" fillId="0" borderId="38" xfId="1" applyFont="1" applyBorder="1"/>
    <xf numFmtId="0" fontId="4" fillId="0" borderId="0" xfId="0" applyFont="1" applyAlignment="1">
      <alignment vertical="top"/>
    </xf>
    <xf numFmtId="0" fontId="4" fillId="0" borderId="1" xfId="0" applyFont="1" applyBorder="1" applyAlignment="1">
      <alignment horizontal="center" vertical="top"/>
    </xf>
    <xf numFmtId="0" fontId="4" fillId="0" borderId="1" xfId="0" applyFont="1" applyBorder="1" applyAlignment="1">
      <alignment vertical="top"/>
    </xf>
    <xf numFmtId="0" fontId="4" fillId="0" borderId="9" xfId="0" applyFont="1" applyBorder="1" applyAlignment="1">
      <alignment vertical="top"/>
    </xf>
    <xf numFmtId="0" fontId="4" fillId="0" borderId="3" xfId="0" applyFont="1" applyBorder="1" applyAlignment="1">
      <alignment vertical="top"/>
    </xf>
    <xf numFmtId="0" fontId="4" fillId="0" borderId="54" xfId="0" applyFont="1" applyBorder="1" applyAlignment="1">
      <alignment vertical="top" wrapText="1"/>
    </xf>
    <xf numFmtId="0" fontId="4" fillId="0" borderId="1" xfId="0" applyFont="1" applyBorder="1" applyAlignment="1">
      <alignment horizontal="center" vertical="center"/>
    </xf>
    <xf numFmtId="56" fontId="4" fillId="0" borderId="1" xfId="0" applyNumberFormat="1" applyFont="1" applyBorder="1" applyAlignment="1">
      <alignment horizontal="center" vertical="top"/>
    </xf>
    <xf numFmtId="0" fontId="4" fillId="0" borderId="1" xfId="0" applyFont="1" applyBorder="1" applyAlignment="1">
      <alignment horizontal="left" vertical="top" wrapText="1"/>
    </xf>
    <xf numFmtId="14" fontId="4" fillId="0" borderId="1" xfId="0" applyNumberFormat="1" applyFont="1" applyBorder="1" applyAlignment="1">
      <alignment horizontal="center" vertical="top"/>
    </xf>
    <xf numFmtId="0" fontId="28" fillId="0" borderId="7" xfId="0" applyFont="1" applyBorder="1" applyAlignment="1">
      <alignment vertical="top"/>
    </xf>
    <xf numFmtId="0" fontId="28" fillId="0" borderId="4" xfId="0" applyFont="1" applyBorder="1" applyAlignment="1">
      <alignment vertical="top"/>
    </xf>
    <xf numFmtId="0" fontId="28" fillId="0" borderId="2" xfId="0" applyFont="1" applyBorder="1" applyAlignment="1">
      <alignment vertical="top"/>
    </xf>
    <xf numFmtId="0" fontId="4" fillId="0" borderId="0" xfId="0" applyFont="1" applyAlignment="1">
      <alignment horizontal="left" vertical="top"/>
    </xf>
    <xf numFmtId="0" fontId="4" fillId="0" borderId="2" xfId="0" applyFont="1" applyBorder="1" applyAlignment="1">
      <alignment horizontal="left" vertical="top"/>
    </xf>
    <xf numFmtId="0" fontId="4" fillId="0" borderId="4" xfId="0" applyFont="1" applyBorder="1" applyAlignment="1">
      <alignment horizontal="left" vertical="top" wrapText="1"/>
    </xf>
    <xf numFmtId="0" fontId="4" fillId="0" borderId="54" xfId="0" applyFont="1" applyBorder="1" applyAlignment="1">
      <alignment horizontal="left" vertical="top"/>
    </xf>
    <xf numFmtId="0" fontId="28" fillId="0" borderId="4" xfId="0" applyFont="1" applyBorder="1" applyAlignment="1">
      <alignment horizontal="left" vertical="top" wrapText="1"/>
    </xf>
    <xf numFmtId="0" fontId="4" fillId="0" borderId="56" xfId="0" applyFont="1" applyBorder="1" applyAlignment="1">
      <alignment horizontal="left" vertical="top"/>
    </xf>
    <xf numFmtId="0" fontId="4" fillId="0" borderId="10" xfId="0" applyFont="1" applyBorder="1" applyAlignment="1">
      <alignment horizontal="left" vertical="top" wrapText="1"/>
    </xf>
    <xf numFmtId="56" fontId="4" fillId="0" borderId="4" xfId="0" applyNumberFormat="1" applyFont="1" applyBorder="1" applyAlignment="1">
      <alignment horizontal="center" vertical="top"/>
    </xf>
    <xf numFmtId="0" fontId="4" fillId="0" borderId="4" xfId="0" applyFont="1" applyBorder="1" applyAlignment="1">
      <alignment horizontal="center" vertical="top"/>
    </xf>
    <xf numFmtId="0" fontId="5" fillId="0" borderId="1" xfId="0" applyFont="1" applyBorder="1" applyAlignment="1">
      <alignment horizontal="left" vertical="top" wrapText="1"/>
    </xf>
    <xf numFmtId="0" fontId="4" fillId="0" borderId="55" xfId="0" applyFont="1" applyBorder="1" applyAlignment="1">
      <alignment vertical="top"/>
    </xf>
    <xf numFmtId="0" fontId="4" fillId="0" borderId="10" xfId="0" applyFont="1" applyBorder="1" applyAlignment="1">
      <alignment horizontal="center" vertical="center"/>
    </xf>
    <xf numFmtId="56" fontId="4" fillId="0" borderId="10" xfId="0" applyNumberFormat="1" applyFont="1" applyBorder="1" applyAlignment="1">
      <alignment horizontal="center" vertical="top"/>
    </xf>
    <xf numFmtId="0" fontId="4" fillId="0" borderId="10" xfId="0" applyFont="1" applyBorder="1" applyAlignment="1">
      <alignment horizontal="center" vertical="top"/>
    </xf>
    <xf numFmtId="14" fontId="4" fillId="0" borderId="10" xfId="0" applyNumberFormat="1" applyFont="1" applyBorder="1" applyAlignment="1">
      <alignment horizontal="center" vertical="top"/>
    </xf>
    <xf numFmtId="0" fontId="28" fillId="0" borderId="56" xfId="0" applyFont="1" applyBorder="1" applyAlignment="1">
      <alignment vertical="top"/>
    </xf>
    <xf numFmtId="0" fontId="4" fillId="0" borderId="11" xfId="0" applyFont="1" applyBorder="1" applyAlignment="1">
      <alignment horizontal="left" vertical="top" wrapText="1"/>
    </xf>
    <xf numFmtId="0" fontId="4" fillId="0" borderId="11" xfId="0" applyFont="1" applyBorder="1" applyAlignment="1">
      <alignment horizontal="center" vertical="center"/>
    </xf>
    <xf numFmtId="56" fontId="4" fillId="0" borderId="11" xfId="0" applyNumberFormat="1" applyFont="1" applyBorder="1" applyAlignment="1">
      <alignment horizontal="center" vertical="top"/>
    </xf>
    <xf numFmtId="0" fontId="4" fillId="0" borderId="11" xfId="0" applyFont="1" applyBorder="1" applyAlignment="1">
      <alignment horizontal="center" vertical="top"/>
    </xf>
    <xf numFmtId="14" fontId="4" fillId="0" borderId="11" xfId="0" applyNumberFormat="1" applyFont="1" applyBorder="1" applyAlignment="1">
      <alignment horizontal="center" vertical="top"/>
    </xf>
    <xf numFmtId="0" fontId="4" fillId="0" borderId="12" xfId="0" applyFont="1" applyBorder="1" applyAlignment="1">
      <alignment horizontal="left" vertical="top" wrapText="1"/>
    </xf>
    <xf numFmtId="0" fontId="4" fillId="0" borderId="12" xfId="0" applyFont="1" applyBorder="1" applyAlignment="1">
      <alignment horizontal="center" vertical="center"/>
    </xf>
    <xf numFmtId="56" fontId="4" fillId="0" borderId="12" xfId="0" applyNumberFormat="1" applyFont="1" applyBorder="1" applyAlignment="1">
      <alignment horizontal="center" vertical="top"/>
    </xf>
    <xf numFmtId="0" fontId="4" fillId="0" borderId="12" xfId="0" applyFont="1" applyBorder="1" applyAlignment="1">
      <alignment horizontal="center" vertical="top"/>
    </xf>
    <xf numFmtId="14" fontId="4" fillId="0" borderId="12" xfId="0" applyNumberFormat="1" applyFont="1" applyBorder="1" applyAlignment="1">
      <alignment horizontal="center" vertical="top"/>
    </xf>
    <xf numFmtId="0" fontId="4" fillId="0" borderId="55" xfId="0" applyFont="1" applyBorder="1" applyAlignment="1">
      <alignment horizontal="left" vertical="top"/>
    </xf>
    <xf numFmtId="0" fontId="29" fillId="0" borderId="56" xfId="0" applyFont="1" applyBorder="1" applyAlignment="1">
      <alignment vertical="top"/>
    </xf>
    <xf numFmtId="0" fontId="29" fillId="0" borderId="56" xfId="0" applyFont="1" applyBorder="1" applyAlignment="1">
      <alignment horizontal="left" vertical="top"/>
    </xf>
    <xf numFmtId="0" fontId="28" fillId="0" borderId="2" xfId="0" applyFont="1" applyBorder="1" applyAlignment="1">
      <alignment horizontal="left" vertical="top" wrapText="1"/>
    </xf>
    <xf numFmtId="0" fontId="4" fillId="0" borderId="4" xfId="0" applyFont="1" applyBorder="1" applyAlignment="1">
      <alignment vertical="top"/>
    </xf>
    <xf numFmtId="0" fontId="4" fillId="0" borderId="7" xfId="0" applyFont="1" applyBorder="1" applyAlignment="1">
      <alignment vertical="top" wrapText="1"/>
    </xf>
    <xf numFmtId="0" fontId="5" fillId="0" borderId="57" xfId="0" applyFont="1" applyBorder="1" applyAlignment="1">
      <alignment horizontal="left" vertical="top" wrapText="1"/>
    </xf>
    <xf numFmtId="0" fontId="28" fillId="0" borderId="4" xfId="0" applyFont="1" applyBorder="1" applyAlignment="1">
      <alignment vertical="top" wrapText="1"/>
    </xf>
    <xf numFmtId="0" fontId="29" fillId="0" borderId="4" xfId="0" applyFont="1" applyBorder="1" applyAlignment="1">
      <alignment vertical="top"/>
    </xf>
    <xf numFmtId="0" fontId="29" fillId="0" borderId="2" xfId="0" applyFont="1" applyBorder="1" applyAlignment="1">
      <alignment vertical="top"/>
    </xf>
    <xf numFmtId="0" fontId="4" fillId="0" borderId="2" xfId="0" applyFont="1" applyBorder="1" applyAlignment="1">
      <alignment vertical="top"/>
    </xf>
    <xf numFmtId="0" fontId="4" fillId="0" borderId="57" xfId="0" applyFont="1" applyBorder="1" applyAlignment="1">
      <alignment horizontal="left" vertical="top" wrapText="1"/>
    </xf>
    <xf numFmtId="0" fontId="28" fillId="0" borderId="2" xfId="0" applyFont="1" applyBorder="1" applyAlignment="1">
      <alignment vertical="top" wrapText="1"/>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5" fillId="0" borderId="10" xfId="0" applyFont="1" applyBorder="1" applyAlignment="1">
      <alignment horizontal="left" vertical="top" wrapText="1"/>
    </xf>
    <xf numFmtId="0" fontId="28" fillId="0" borderId="4" xfId="0" applyFont="1" applyBorder="1" applyAlignment="1">
      <alignment horizontal="left" vertical="top"/>
    </xf>
    <xf numFmtId="0" fontId="29" fillId="0" borderId="4" xfId="0" applyFont="1" applyBorder="1" applyAlignment="1">
      <alignment horizontal="left" vertical="top" wrapText="1"/>
    </xf>
    <xf numFmtId="0" fontId="28" fillId="0" borderId="2" xfId="0" applyFont="1" applyBorder="1" applyAlignment="1">
      <alignment horizontal="left" vertical="top"/>
    </xf>
    <xf numFmtId="0" fontId="29" fillId="0" borderId="2" xfId="0" applyFont="1" applyBorder="1" applyAlignment="1">
      <alignment horizontal="left" vertical="top" wrapText="1"/>
    </xf>
    <xf numFmtId="0" fontId="4" fillId="0" borderId="4" xfId="0" applyFont="1" applyBorder="1" applyAlignment="1">
      <alignment horizontal="left" vertical="top"/>
    </xf>
    <xf numFmtId="0" fontId="4" fillId="0" borderId="58" xfId="0" applyFont="1" applyBorder="1" applyAlignment="1">
      <alignment horizontal="left" vertical="top" wrapText="1"/>
    </xf>
    <xf numFmtId="0" fontId="4" fillId="0" borderId="58" xfId="0" applyFont="1" applyBorder="1" applyAlignment="1">
      <alignment horizontal="center" vertical="center"/>
    </xf>
    <xf numFmtId="56" fontId="4" fillId="0" borderId="58" xfId="0" applyNumberFormat="1" applyFont="1" applyBorder="1" applyAlignment="1">
      <alignment horizontal="center" vertical="top"/>
    </xf>
    <xf numFmtId="0" fontId="4" fillId="0" borderId="58" xfId="0" applyFont="1" applyBorder="1" applyAlignment="1">
      <alignment horizontal="center" vertical="top"/>
    </xf>
    <xf numFmtId="0" fontId="4" fillId="0" borderId="3" xfId="0" applyFont="1" applyBorder="1" applyAlignment="1">
      <alignment vertical="top" wrapText="1"/>
    </xf>
    <xf numFmtId="0" fontId="29" fillId="0" borderId="8" xfId="0" applyFont="1" applyBorder="1" applyAlignment="1">
      <alignment vertical="top"/>
    </xf>
    <xf numFmtId="0" fontId="4" fillId="0" borderId="56" xfId="0" applyFont="1" applyBorder="1" applyAlignment="1">
      <alignment vertical="top"/>
    </xf>
    <xf numFmtId="0" fontId="4" fillId="0" borderId="7" xfId="0" applyFont="1" applyBorder="1" applyAlignment="1">
      <alignment vertical="top"/>
    </xf>
    <xf numFmtId="0" fontId="4" fillId="0" borderId="8" xfId="0" applyFont="1" applyBorder="1" applyAlignment="1">
      <alignment horizontal="left" vertical="top" wrapText="1"/>
    </xf>
    <xf numFmtId="0" fontId="28" fillId="0" borderId="5" xfId="0" applyFont="1" applyBorder="1" applyAlignment="1">
      <alignment vertical="top"/>
    </xf>
    <xf numFmtId="0" fontId="4" fillId="0" borderId="2" xfId="0" applyFont="1" applyBorder="1" applyAlignment="1">
      <alignment horizontal="left" vertical="top" wrapText="1"/>
    </xf>
    <xf numFmtId="56" fontId="4" fillId="0" borderId="2" xfId="0" applyNumberFormat="1" applyFont="1" applyBorder="1" applyAlignment="1">
      <alignment horizontal="center" vertical="top"/>
    </xf>
    <xf numFmtId="0" fontId="4" fillId="0" borderId="2" xfId="0" applyFont="1" applyBorder="1" applyAlignment="1">
      <alignment horizontal="center" vertical="top"/>
    </xf>
    <xf numFmtId="0" fontId="4" fillId="0" borderId="2" xfId="0" applyFont="1" applyBorder="1" applyAlignment="1">
      <alignment horizontal="center" vertical="center"/>
    </xf>
    <xf numFmtId="0" fontId="4" fillId="0" borderId="1" xfId="0" applyFont="1" applyBorder="1" applyAlignment="1">
      <alignment vertical="top" wrapText="1"/>
    </xf>
    <xf numFmtId="0" fontId="4" fillId="0" borderId="54" xfId="0" applyFont="1" applyBorder="1" applyAlignment="1">
      <alignment horizontal="left" vertical="top" wrapText="1"/>
    </xf>
    <xf numFmtId="0" fontId="6" fillId="2" borderId="2" xfId="0" applyFont="1" applyFill="1" applyBorder="1" applyAlignment="1">
      <alignment horizontal="center" vertical="top" wrapText="1"/>
    </xf>
    <xf numFmtId="0" fontId="13" fillId="0" borderId="0" xfId="2" applyFont="1" applyAlignment="1">
      <alignment horizontal="center"/>
    </xf>
    <xf numFmtId="0" fontId="15" fillId="0" borderId="0" xfId="2" applyFont="1" applyAlignment="1">
      <alignment horizontal="center"/>
    </xf>
    <xf numFmtId="0" fontId="6" fillId="2" borderId="5" xfId="0" applyFont="1" applyFill="1" applyBorder="1" applyAlignment="1">
      <alignment horizontal="center" vertical="top"/>
    </xf>
    <xf numFmtId="0" fontId="6" fillId="2" borderId="6" xfId="0" applyFont="1" applyFill="1" applyBorder="1" applyAlignment="1">
      <alignment horizontal="center" vertical="top"/>
    </xf>
    <xf numFmtId="0" fontId="6" fillId="2" borderId="8" xfId="0" applyFont="1" applyFill="1" applyBorder="1" applyAlignment="1">
      <alignment horizontal="center" vertical="top"/>
    </xf>
    <xf numFmtId="0" fontId="24" fillId="4" borderId="40" xfId="0" applyFont="1" applyFill="1" applyBorder="1" applyAlignment="1">
      <alignment horizontal="center" vertical="center" wrapText="1"/>
    </xf>
    <xf numFmtId="0" fontId="24" fillId="4" borderId="41" xfId="0" applyFont="1" applyFill="1" applyBorder="1" applyAlignment="1">
      <alignment horizontal="center" vertical="center" wrapText="1"/>
    </xf>
    <xf numFmtId="0" fontId="22" fillId="5" borderId="42" xfId="0" applyFont="1" applyFill="1" applyBorder="1" applyAlignment="1">
      <alignment horizontal="center" vertical="center"/>
    </xf>
    <xf numFmtId="0" fontId="24" fillId="4" borderId="47" xfId="0" applyFont="1" applyFill="1" applyBorder="1" applyAlignment="1">
      <alignment horizontal="center" vertical="center" wrapText="1"/>
    </xf>
    <xf numFmtId="0" fontId="24" fillId="4" borderId="41" xfId="0" applyFont="1" applyFill="1" applyBorder="1" applyAlignment="1">
      <alignment horizontal="center" vertical="center"/>
    </xf>
    <xf numFmtId="0" fontId="32" fillId="0" borderId="0" xfId="0" applyFont="1">
      <alignment vertical="center"/>
    </xf>
    <xf numFmtId="0" fontId="33" fillId="0" borderId="0" xfId="0" applyFont="1">
      <alignment vertical="center"/>
    </xf>
    <xf numFmtId="0" fontId="33" fillId="0" borderId="0" xfId="0" applyFont="1" applyAlignment="1">
      <alignment horizontal="left" vertical="center" wrapText="1"/>
    </xf>
    <xf numFmtId="0" fontId="34" fillId="5" borderId="48" xfId="0" applyFont="1" applyFill="1" applyBorder="1" applyAlignment="1">
      <alignment horizontal="center" vertical="center" wrapText="1"/>
    </xf>
    <xf numFmtId="0" fontId="35" fillId="6" borderId="49" xfId="0" applyFont="1" applyFill="1" applyBorder="1" applyAlignment="1">
      <alignment horizontal="center" vertical="center" wrapText="1"/>
    </xf>
    <xf numFmtId="0" fontId="35" fillId="6" borderId="48" xfId="0" applyFont="1" applyFill="1" applyBorder="1" applyAlignment="1">
      <alignment horizontal="center" vertical="center" wrapText="1"/>
    </xf>
    <xf numFmtId="0" fontId="35" fillId="6" borderId="48" xfId="0" applyFont="1" applyFill="1" applyBorder="1" applyAlignment="1">
      <alignment horizontal="center" vertical="center"/>
    </xf>
    <xf numFmtId="0" fontId="33" fillId="0" borderId="0" xfId="0" applyFont="1" applyAlignment="1">
      <alignment horizontal="left" vertical="center"/>
    </xf>
    <xf numFmtId="0" fontId="34" fillId="5" borderId="50" xfId="0" applyFont="1" applyFill="1" applyBorder="1" applyAlignment="1">
      <alignment horizontal="center" vertical="center" wrapText="1"/>
    </xf>
    <xf numFmtId="0" fontId="35" fillId="6" borderId="51" xfId="0" applyFont="1" applyFill="1" applyBorder="1" applyAlignment="1">
      <alignment horizontal="center" vertical="center" wrapText="1"/>
    </xf>
    <xf numFmtId="0" fontId="35" fillId="6" borderId="50" xfId="0" applyFont="1" applyFill="1" applyBorder="1" applyAlignment="1">
      <alignment horizontal="center" vertical="center" wrapText="1"/>
    </xf>
    <xf numFmtId="0" fontId="35" fillId="6" borderId="50" xfId="0" applyFont="1" applyFill="1" applyBorder="1" applyAlignment="1">
      <alignment horizontal="center" vertical="center"/>
    </xf>
    <xf numFmtId="0" fontId="34" fillId="5" borderId="52"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5" fillId="6" borderId="52" xfId="0" applyFont="1" applyFill="1" applyBorder="1" applyAlignment="1">
      <alignment horizontal="center" vertical="center" wrapText="1"/>
    </xf>
    <xf numFmtId="0" fontId="35" fillId="6" borderId="52" xfId="0" applyFont="1" applyFill="1" applyBorder="1" applyAlignment="1">
      <alignment horizontal="center" vertical="center"/>
    </xf>
    <xf numFmtId="56" fontId="4" fillId="0" borderId="3" xfId="0" applyNumberFormat="1" applyFont="1" applyBorder="1" applyAlignment="1">
      <alignment horizontal="center" vertical="top"/>
    </xf>
    <xf numFmtId="0" fontId="4" fillId="0" borderId="3" xfId="0" applyFont="1" applyBorder="1" applyAlignment="1">
      <alignment horizontal="center" vertical="top"/>
    </xf>
  </cellXfs>
  <cellStyles count="3">
    <cellStyle name="標準" xfId="0" builtinId="0"/>
    <cellStyle name="標準 2" xfId="1" xr:uid="{1C9E52E3-F31F-4EB3-8AAA-0F2BF3E8241B}"/>
    <cellStyle name="標準_20061127_外部委託帳票部数指定表ver1.4" xfId="2" xr:uid="{B64F166D-A85B-44A5-8829-07ABC7B8CD05}"/>
  </cellStyles>
  <dxfs count="0"/>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120650</xdr:rowOff>
    </xdr:from>
    <xdr:to>
      <xdr:col>36</xdr:col>
      <xdr:colOff>0</xdr:colOff>
      <xdr:row>3</xdr:row>
      <xdr:rowOff>120650</xdr:rowOff>
    </xdr:to>
    <xdr:cxnSp macro="">
      <xdr:nvCxnSpPr>
        <xdr:cNvPr id="2" name="直線コネクタ 1">
          <a:extLst>
            <a:ext uri="{FF2B5EF4-FFF2-40B4-BE49-F238E27FC236}">
              <a16:creationId xmlns:a16="http://schemas.microsoft.com/office/drawing/2014/main" id="{99F385C3-BC3F-49EC-9D71-15FC9FC33F66}"/>
            </a:ext>
          </a:extLst>
        </xdr:cNvPr>
        <xdr:cNvCxnSpPr>
          <a:cxnSpLocks noChangeShapeType="1"/>
        </xdr:cNvCxnSpPr>
      </xdr:nvCxnSpPr>
      <xdr:spPr bwMode="auto">
        <a:xfrm>
          <a:off x="0" y="635000"/>
          <a:ext cx="7200900" cy="0"/>
        </a:xfrm>
        <a:prstGeom prst="line">
          <a:avLst/>
        </a:prstGeom>
        <a:noFill/>
        <a:ln w="19050" algn="ctr">
          <a:solidFill>
            <a:srgbClr val="0070C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29</xdr:col>
      <xdr:colOff>0</xdr:colOff>
      <xdr:row>0</xdr:row>
      <xdr:rowOff>19050</xdr:rowOff>
    </xdr:from>
    <xdr:to>
      <xdr:col>35</xdr:col>
      <xdr:colOff>180975</xdr:colOff>
      <xdr:row>3</xdr:row>
      <xdr:rowOff>104775</xdr:rowOff>
    </xdr:to>
    <xdr:pic>
      <xdr:nvPicPr>
        <xdr:cNvPr id="3" name="Picture 6">
          <a:extLst>
            <a:ext uri="{FF2B5EF4-FFF2-40B4-BE49-F238E27FC236}">
              <a16:creationId xmlns:a16="http://schemas.microsoft.com/office/drawing/2014/main" id="{6B08FB74-58D6-4423-81CC-A1DDA632BB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
          <a:ext cx="1381125" cy="600075"/>
        </a:xfrm>
        <a:prstGeom prst="rect">
          <a:avLst/>
        </a:prstGeom>
        <a:noFill/>
        <a:ln>
          <a:noFill/>
        </a:ln>
        <a:extLst>
          <a:ext uri="{909E8E84-426E-40DD-AFC4-6F175D3DCCD1}">
            <a14:hiddenFill xmlns:a14="http://schemas.microsoft.com/office/drawing/2010/main">
              <a:solidFill>
                <a:srgbClr val="339966"/>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111125</xdr:rowOff>
    </xdr:from>
    <xdr:to>
      <xdr:col>36</xdr:col>
      <xdr:colOff>0</xdr:colOff>
      <xdr:row>3</xdr:row>
      <xdr:rowOff>111125</xdr:rowOff>
    </xdr:to>
    <xdr:cxnSp macro="">
      <xdr:nvCxnSpPr>
        <xdr:cNvPr id="2" name="直線コネクタ 1">
          <a:extLst>
            <a:ext uri="{FF2B5EF4-FFF2-40B4-BE49-F238E27FC236}">
              <a16:creationId xmlns:a16="http://schemas.microsoft.com/office/drawing/2014/main" id="{0FD769F4-CFBC-4CC0-91A5-17CC8E6A42E3}"/>
            </a:ext>
          </a:extLst>
        </xdr:cNvPr>
        <xdr:cNvCxnSpPr>
          <a:cxnSpLocks noChangeShapeType="1"/>
        </xdr:cNvCxnSpPr>
      </xdr:nvCxnSpPr>
      <xdr:spPr bwMode="auto">
        <a:xfrm>
          <a:off x="0" y="625475"/>
          <a:ext cx="7200900" cy="0"/>
        </a:xfrm>
        <a:prstGeom prst="line">
          <a:avLst/>
        </a:prstGeom>
        <a:noFill/>
        <a:ln w="19050" algn="ctr">
          <a:solidFill>
            <a:srgbClr val="0070C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cxnSp>
    <xdr:clientData/>
  </xdr:twoCellAnchor>
  <xdr:twoCellAnchor>
    <xdr:from>
      <xdr:col>29</xdr:col>
      <xdr:colOff>0</xdr:colOff>
      <xdr:row>0</xdr:row>
      <xdr:rowOff>19050</xdr:rowOff>
    </xdr:from>
    <xdr:to>
      <xdr:col>35</xdr:col>
      <xdr:colOff>180975</xdr:colOff>
      <xdr:row>3</xdr:row>
      <xdr:rowOff>104775</xdr:rowOff>
    </xdr:to>
    <xdr:pic>
      <xdr:nvPicPr>
        <xdr:cNvPr id="3" name="Picture 6">
          <a:extLst>
            <a:ext uri="{FF2B5EF4-FFF2-40B4-BE49-F238E27FC236}">
              <a16:creationId xmlns:a16="http://schemas.microsoft.com/office/drawing/2014/main" id="{CAAC5CB2-2192-4260-B8C2-A9D2B216E0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
          <a:ext cx="1381125" cy="600075"/>
        </a:xfrm>
        <a:prstGeom prst="rect">
          <a:avLst/>
        </a:prstGeom>
        <a:noFill/>
        <a:ln>
          <a:noFill/>
        </a:ln>
        <a:extLst>
          <a:ext uri="{909E8E84-426E-40DD-AFC4-6F175D3DCCD1}">
            <a14:hiddenFill xmlns:a14="http://schemas.microsoft.com/office/drawing/2010/main">
              <a:solidFill>
                <a:srgbClr val="339966"/>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93C3-8E30-45DD-8E07-A35F42E1F702}">
  <dimension ref="A1:AM55"/>
  <sheetViews>
    <sheetView showGridLines="0" tabSelected="1" view="pageBreakPreview" zoomScaleNormal="100" zoomScaleSheetLayoutView="100" workbookViewId="0"/>
  </sheetViews>
  <sheetFormatPr defaultColWidth="2.58203125" defaultRowHeight="15" x14ac:dyDescent="0.35"/>
  <cols>
    <col min="1" max="16384" width="2.58203125" style="12"/>
  </cols>
  <sheetData>
    <row r="1" spans="1:39" ht="13.5" customHeight="1" x14ac:dyDescent="0.35"/>
    <row r="2" spans="1:39" ht="13.5" customHeight="1" x14ac:dyDescent="0.35"/>
    <row r="3" spans="1:39" ht="13.5" customHeight="1" x14ac:dyDescent="0.35"/>
    <row r="4" spans="1:39" ht="13.5" customHeight="1" x14ac:dyDescent="0.35"/>
    <row r="5" spans="1:39" ht="13.5" customHeight="1" x14ac:dyDescent="0.35"/>
    <row r="6" spans="1:39" ht="13.5" customHeight="1" x14ac:dyDescent="0.35"/>
    <row r="7" spans="1:39" ht="13.5" customHeight="1" x14ac:dyDescent="0.35">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4" t="s">
        <v>236</v>
      </c>
      <c r="AC7" s="14"/>
      <c r="AD7" s="14"/>
      <c r="AE7" s="14"/>
      <c r="AF7" s="14"/>
      <c r="AG7" s="14"/>
      <c r="AH7" s="14"/>
      <c r="AI7" s="14"/>
      <c r="AJ7" s="14"/>
      <c r="AK7" s="14"/>
      <c r="AL7" s="14"/>
      <c r="AM7" s="14"/>
    </row>
    <row r="8" spans="1:39" ht="13.5" customHeight="1" x14ac:dyDescent="0.35"/>
    <row r="9" spans="1:39" ht="13.5" customHeight="1" x14ac:dyDescent="0.3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spans="1:39" ht="13.5" customHeight="1" x14ac:dyDescent="0.3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9" ht="13.5" customHeight="1" x14ac:dyDescent="0.3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9" ht="13.5" customHeight="1" x14ac:dyDescent="0.35">
      <c r="B12" s="15"/>
      <c r="C12" s="15"/>
      <c r="M12" s="15"/>
      <c r="N12" s="15"/>
      <c r="O12" s="15"/>
      <c r="P12" s="15"/>
      <c r="Q12" s="15"/>
      <c r="R12" s="15"/>
      <c r="S12" s="15"/>
      <c r="T12" s="15"/>
      <c r="U12" s="15"/>
      <c r="V12" s="15"/>
      <c r="W12" s="15"/>
      <c r="X12" s="15"/>
      <c r="Y12" s="15"/>
      <c r="Z12" s="15"/>
      <c r="AA12" s="15"/>
      <c r="AB12" s="15"/>
      <c r="AC12" s="15"/>
      <c r="AD12" s="15"/>
      <c r="AE12" s="15"/>
      <c r="AF12" s="15"/>
      <c r="AG12" s="15"/>
    </row>
    <row r="13" spans="1:39" s="16" customFormat="1" ht="60.75" customHeight="1" x14ac:dyDescent="0.7">
      <c r="A13" s="164" t="s">
        <v>175</v>
      </c>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row>
    <row r="14" spans="1:39" s="16" customFormat="1" ht="18.75" customHeight="1" x14ac:dyDescent="0.35">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row>
    <row r="15" spans="1:39" s="16" customFormat="1" ht="13.5" customHeight="1" x14ac:dyDescent="0.3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row>
    <row r="16" spans="1:39" s="16" customFormat="1" ht="13.5" customHeight="1"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row>
    <row r="17" spans="1:36" s="16" customFormat="1" ht="33" customHeight="1" x14ac:dyDescent="0.55000000000000004">
      <c r="A17" s="19" t="s">
        <v>176</v>
      </c>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row>
    <row r="18" spans="1:36" ht="13.5" customHeight="1" x14ac:dyDescent="0.35">
      <c r="B18" s="15"/>
      <c r="C18" s="15"/>
      <c r="D18" s="15"/>
      <c r="M18" s="15"/>
      <c r="N18" s="15"/>
      <c r="O18" s="15"/>
      <c r="P18" s="15"/>
      <c r="Q18" s="15"/>
      <c r="R18" s="15"/>
      <c r="S18" s="15"/>
      <c r="T18" s="15"/>
      <c r="U18" s="15"/>
      <c r="V18" s="15"/>
      <c r="W18" s="15"/>
      <c r="X18" s="15"/>
      <c r="Y18" s="15"/>
      <c r="Z18" s="15"/>
      <c r="AA18" s="15"/>
      <c r="AB18" s="15"/>
      <c r="AC18" s="15"/>
      <c r="AD18" s="15"/>
      <c r="AE18" s="15"/>
      <c r="AF18" s="15"/>
      <c r="AG18" s="15"/>
    </row>
    <row r="19" spans="1:36" ht="13.5" customHeight="1" x14ac:dyDescent="0.35">
      <c r="B19" s="15"/>
      <c r="C19" s="15"/>
      <c r="M19" s="15"/>
      <c r="N19" s="15"/>
      <c r="O19" s="15"/>
      <c r="P19" s="15"/>
      <c r="Q19" s="15"/>
      <c r="R19" s="15"/>
      <c r="S19" s="15"/>
      <c r="T19" s="15"/>
      <c r="U19" s="15"/>
      <c r="V19" s="15"/>
      <c r="W19" s="15"/>
      <c r="X19" s="15"/>
      <c r="Y19" s="15"/>
      <c r="Z19" s="15"/>
      <c r="AA19" s="15"/>
      <c r="AB19" s="15"/>
      <c r="AC19" s="15"/>
      <c r="AD19" s="15"/>
      <c r="AE19" s="15"/>
      <c r="AF19" s="15"/>
      <c r="AG19" s="15"/>
    </row>
    <row r="20" spans="1:36" ht="13.5" customHeight="1" x14ac:dyDescent="0.35">
      <c r="B20" s="15"/>
      <c r="C20" s="15"/>
      <c r="M20" s="15"/>
      <c r="N20" s="15"/>
      <c r="O20" s="15"/>
      <c r="P20" s="15"/>
      <c r="Q20" s="15"/>
      <c r="R20" s="15"/>
      <c r="S20" s="15"/>
      <c r="T20" s="15"/>
      <c r="U20" s="15"/>
      <c r="V20" s="15"/>
      <c r="W20" s="15"/>
      <c r="X20" s="15"/>
      <c r="Y20" s="15"/>
      <c r="Z20" s="15"/>
      <c r="AA20" s="15"/>
      <c r="AB20" s="15"/>
      <c r="AC20" s="15"/>
      <c r="AD20" s="15"/>
      <c r="AE20" s="15"/>
      <c r="AF20" s="15"/>
      <c r="AG20" s="15"/>
    </row>
    <row r="21" spans="1:36" ht="13.5" customHeight="1" x14ac:dyDescent="0.35">
      <c r="B21" s="15"/>
      <c r="C21" s="15"/>
      <c r="M21" s="15"/>
      <c r="N21" s="15"/>
      <c r="O21" s="15"/>
      <c r="P21" s="15"/>
      <c r="Q21" s="15"/>
      <c r="R21" s="15"/>
      <c r="S21" s="15"/>
      <c r="T21" s="15"/>
      <c r="U21" s="15"/>
      <c r="V21" s="15"/>
      <c r="W21" s="15"/>
      <c r="X21" s="15"/>
      <c r="Y21" s="15"/>
      <c r="Z21" s="15"/>
      <c r="AA21" s="15"/>
      <c r="AB21" s="15"/>
      <c r="AC21" s="15"/>
      <c r="AD21" s="15"/>
      <c r="AE21" s="15"/>
      <c r="AF21" s="15"/>
      <c r="AG21" s="15"/>
    </row>
    <row r="22" spans="1:36" ht="13.5" customHeight="1" x14ac:dyDescent="0.35">
      <c r="B22" s="15"/>
      <c r="C22" s="15"/>
      <c r="M22" s="15"/>
      <c r="N22" s="15"/>
      <c r="O22" s="15"/>
      <c r="P22" s="15"/>
      <c r="Q22" s="15"/>
      <c r="R22" s="15"/>
      <c r="S22" s="15"/>
      <c r="T22" s="15"/>
      <c r="U22" s="15"/>
      <c r="V22" s="15"/>
      <c r="W22" s="15"/>
      <c r="X22" s="15"/>
      <c r="Y22" s="15"/>
      <c r="Z22" s="15"/>
      <c r="AA22" s="15"/>
      <c r="AB22" s="15"/>
      <c r="AC22" s="15"/>
      <c r="AD22" s="15"/>
      <c r="AE22" s="15"/>
      <c r="AF22" s="15"/>
      <c r="AG22" s="15"/>
    </row>
    <row r="23" spans="1:36" ht="13.5" customHeight="1" x14ac:dyDescent="0.35">
      <c r="B23" s="15"/>
      <c r="C23" s="15"/>
      <c r="M23" s="15"/>
      <c r="N23" s="15"/>
      <c r="O23" s="15"/>
      <c r="P23" s="15"/>
      <c r="Q23" s="15"/>
      <c r="R23" s="15"/>
      <c r="S23" s="15"/>
      <c r="T23" s="15"/>
      <c r="U23" s="15"/>
      <c r="V23" s="15"/>
      <c r="W23" s="15"/>
      <c r="X23" s="15"/>
      <c r="Y23" s="15"/>
      <c r="Z23" s="15"/>
      <c r="AA23" s="15"/>
      <c r="AB23" s="15"/>
      <c r="AC23" s="15"/>
      <c r="AD23" s="15"/>
      <c r="AE23" s="15"/>
      <c r="AF23" s="15"/>
      <c r="AG23" s="15"/>
    </row>
    <row r="24" spans="1:36" ht="13.5" customHeight="1" x14ac:dyDescent="0.3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row>
    <row r="25" spans="1:36" ht="13.5" customHeight="1" x14ac:dyDescent="0.3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row>
    <row r="26" spans="1:36" ht="13.5" customHeight="1" x14ac:dyDescent="0.3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row r="27" spans="1:36" ht="13.5" customHeight="1" x14ac:dyDescent="0.35">
      <c r="B27" s="15"/>
      <c r="C27" s="15"/>
      <c r="D27" s="15"/>
      <c r="E27" s="15"/>
      <c r="F27" s="15"/>
      <c r="G27" s="15"/>
      <c r="H27" s="15"/>
      <c r="I27" s="15"/>
      <c r="J27" s="15"/>
      <c r="K27" s="20"/>
      <c r="L27" s="15"/>
      <c r="M27" s="15"/>
      <c r="N27" s="15"/>
      <c r="O27" s="15"/>
      <c r="P27" s="15"/>
      <c r="Q27" s="15"/>
      <c r="R27" s="15"/>
      <c r="S27" s="15"/>
      <c r="T27" s="15"/>
      <c r="U27" s="15"/>
      <c r="V27" s="15"/>
      <c r="W27" s="15"/>
      <c r="X27" s="15"/>
      <c r="Y27" s="15"/>
      <c r="Z27" s="15"/>
      <c r="AA27" s="15"/>
      <c r="AB27" s="15"/>
      <c r="AC27" s="15"/>
      <c r="AD27" s="15"/>
      <c r="AE27" s="15"/>
      <c r="AF27" s="15"/>
      <c r="AG27" s="15"/>
    </row>
    <row r="28" spans="1:36" ht="13.5" customHeight="1" x14ac:dyDescent="0.3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6" ht="13.5" customHeight="1" x14ac:dyDescent="0.3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row>
    <row r="30" spans="1:36" ht="13.5" customHeight="1" thickBot="1" x14ac:dyDescent="0.4">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row>
    <row r="31" spans="1:36" ht="13.5" customHeight="1" x14ac:dyDescent="0.35">
      <c r="B31" s="15"/>
      <c r="C31" s="15"/>
      <c r="D31" s="15"/>
      <c r="E31" s="15"/>
      <c r="F31" s="15"/>
      <c r="G31" s="15"/>
      <c r="H31" s="21" t="s">
        <v>177</v>
      </c>
      <c r="I31" s="22"/>
      <c r="J31" s="22"/>
      <c r="K31" s="22"/>
      <c r="L31" s="22"/>
      <c r="M31" s="22"/>
      <c r="N31" s="23"/>
      <c r="O31" s="24" t="s">
        <v>386</v>
      </c>
      <c r="P31" s="25"/>
      <c r="Q31" s="25"/>
      <c r="R31" s="25"/>
      <c r="S31" s="25"/>
      <c r="T31" s="25"/>
      <c r="U31" s="25"/>
      <c r="V31" s="25"/>
      <c r="W31" s="25"/>
      <c r="X31" s="25"/>
      <c r="Y31" s="25"/>
      <c r="Z31" s="25"/>
      <c r="AA31" s="25"/>
      <c r="AB31" s="25"/>
      <c r="AC31" s="26"/>
      <c r="AD31" s="15"/>
      <c r="AE31" s="15"/>
      <c r="AF31" s="15"/>
      <c r="AG31" s="15"/>
    </row>
    <row r="32" spans="1:36" ht="13.5" customHeight="1" x14ac:dyDescent="0.35">
      <c r="B32" s="15"/>
      <c r="C32" s="15"/>
      <c r="D32" s="15"/>
      <c r="E32" s="15"/>
      <c r="F32" s="15"/>
      <c r="G32" s="15"/>
      <c r="H32" s="27" t="s">
        <v>178</v>
      </c>
      <c r="I32" s="28"/>
      <c r="J32" s="28"/>
      <c r="K32" s="28"/>
      <c r="L32" s="28"/>
      <c r="M32" s="28"/>
      <c r="N32" s="29"/>
      <c r="O32" s="30"/>
      <c r="P32" s="31"/>
      <c r="Q32" s="31"/>
      <c r="R32" s="31"/>
      <c r="S32" s="31"/>
      <c r="T32" s="31"/>
      <c r="U32" s="31"/>
      <c r="V32" s="32"/>
      <c r="W32" s="32"/>
      <c r="X32" s="32"/>
      <c r="Y32" s="32"/>
      <c r="Z32" s="32"/>
      <c r="AA32" s="32"/>
      <c r="AB32" s="32"/>
      <c r="AC32" s="33"/>
      <c r="AD32" s="15"/>
      <c r="AE32" s="15"/>
      <c r="AF32" s="15"/>
      <c r="AG32" s="15"/>
    </row>
    <row r="33" spans="2:33" ht="13.5" customHeight="1" x14ac:dyDescent="0.35">
      <c r="B33" s="15"/>
      <c r="C33" s="15"/>
      <c r="D33" s="15"/>
      <c r="E33" s="15"/>
      <c r="F33" s="15"/>
      <c r="G33" s="15"/>
      <c r="H33" s="34" t="s">
        <v>179</v>
      </c>
      <c r="I33" s="35"/>
      <c r="J33" s="35"/>
      <c r="K33" s="35"/>
      <c r="L33" s="35"/>
      <c r="M33" s="35"/>
      <c r="N33" s="36"/>
      <c r="O33" s="37" t="s">
        <v>180</v>
      </c>
      <c r="P33" s="38"/>
      <c r="Q33" s="38"/>
      <c r="R33" s="38"/>
      <c r="S33" s="38"/>
      <c r="T33" s="38"/>
      <c r="U33" s="38"/>
      <c r="V33" s="38"/>
      <c r="W33" s="38"/>
      <c r="X33" s="38"/>
      <c r="Y33" s="38"/>
      <c r="Z33" s="38"/>
      <c r="AA33" s="38"/>
      <c r="AB33" s="38"/>
      <c r="AC33" s="39"/>
      <c r="AD33" s="15"/>
      <c r="AE33" s="15"/>
      <c r="AF33" s="15"/>
      <c r="AG33" s="15"/>
    </row>
    <row r="34" spans="2:33" ht="13.5" customHeight="1" x14ac:dyDescent="0.35">
      <c r="B34" s="15"/>
      <c r="C34" s="15"/>
      <c r="D34" s="15"/>
      <c r="E34" s="15"/>
      <c r="F34" s="15"/>
      <c r="G34" s="15"/>
      <c r="H34" s="27" t="s">
        <v>181</v>
      </c>
      <c r="I34" s="28"/>
      <c r="J34" s="28"/>
      <c r="K34" s="28"/>
      <c r="L34" s="28"/>
      <c r="M34" s="28"/>
      <c r="N34" s="29"/>
      <c r="O34" s="30"/>
      <c r="P34" s="31"/>
      <c r="Q34" s="31"/>
      <c r="R34" s="31"/>
      <c r="S34" s="31"/>
      <c r="T34" s="31"/>
      <c r="U34" s="31"/>
      <c r="V34" s="31"/>
      <c r="W34" s="31"/>
      <c r="X34" s="31"/>
      <c r="Y34" s="31"/>
      <c r="Z34" s="31"/>
      <c r="AA34" s="31"/>
      <c r="AB34" s="31"/>
      <c r="AC34" s="40"/>
      <c r="AD34" s="15"/>
      <c r="AE34" s="15"/>
      <c r="AF34" s="15"/>
      <c r="AG34" s="15"/>
    </row>
    <row r="35" spans="2:33" ht="13.5" customHeight="1" x14ac:dyDescent="0.35">
      <c r="B35" s="15"/>
      <c r="C35" s="15"/>
      <c r="D35" s="15"/>
      <c r="E35" s="15"/>
      <c r="F35" s="15"/>
      <c r="G35" s="15"/>
      <c r="H35" s="41" t="s">
        <v>182</v>
      </c>
      <c r="I35" s="20"/>
      <c r="J35" s="20"/>
      <c r="K35" s="20"/>
      <c r="L35" s="20"/>
      <c r="M35" s="20"/>
      <c r="N35" s="42"/>
      <c r="O35" s="43" t="s">
        <v>237</v>
      </c>
      <c r="P35" s="32"/>
      <c r="Q35" s="32"/>
      <c r="R35" s="32"/>
      <c r="S35" s="32"/>
      <c r="T35" s="32"/>
      <c r="U35" s="32"/>
      <c r="V35" s="32"/>
      <c r="W35" s="32"/>
      <c r="X35" s="32"/>
      <c r="Y35" s="32"/>
      <c r="Z35" s="32"/>
      <c r="AA35" s="32"/>
      <c r="AB35" s="32"/>
      <c r="AC35" s="33"/>
      <c r="AD35" s="15"/>
      <c r="AE35" s="15"/>
      <c r="AF35" s="15"/>
      <c r="AG35" s="15"/>
    </row>
    <row r="36" spans="2:33" ht="13.5" customHeight="1" thickBot="1" x14ac:dyDescent="0.4">
      <c r="B36" s="15"/>
      <c r="C36" s="15"/>
      <c r="D36" s="15"/>
      <c r="E36" s="15"/>
      <c r="F36" s="15"/>
      <c r="G36" s="15"/>
      <c r="H36" s="44" t="s">
        <v>183</v>
      </c>
      <c r="I36" s="45"/>
      <c r="J36" s="45"/>
      <c r="K36" s="45"/>
      <c r="L36" s="45"/>
      <c r="M36" s="45"/>
      <c r="N36" s="46"/>
      <c r="O36" s="47"/>
      <c r="P36" s="47"/>
      <c r="Q36" s="47"/>
      <c r="R36" s="47"/>
      <c r="S36" s="47"/>
      <c r="T36" s="47"/>
      <c r="U36" s="47"/>
      <c r="V36" s="47"/>
      <c r="W36" s="47"/>
      <c r="X36" s="47"/>
      <c r="Y36" s="47"/>
      <c r="Z36" s="47"/>
      <c r="AA36" s="47"/>
      <c r="AB36" s="47"/>
      <c r="AC36" s="48"/>
      <c r="AD36" s="15"/>
      <c r="AE36" s="15"/>
      <c r="AF36" s="15"/>
      <c r="AG36" s="15"/>
    </row>
    <row r="37" spans="2:33" ht="13.5" customHeight="1" x14ac:dyDescent="0.3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row>
    <row r="38" spans="2:33" ht="13.5" customHeight="1" x14ac:dyDescent="0.3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row>
    <row r="39" spans="2:33" ht="13.5" customHeight="1" x14ac:dyDescent="0.3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row>
    <row r="40" spans="2:33" ht="13.5" customHeight="1" x14ac:dyDescent="0.3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row>
    <row r="41" spans="2:33" ht="13.5" customHeight="1" x14ac:dyDescent="0.3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row>
    <row r="42" spans="2:33" ht="13.5" customHeight="1" x14ac:dyDescent="0.3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spans="2:33" ht="13.5" customHeight="1" x14ac:dyDescent="0.3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row>
    <row r="44" spans="2:33" ht="13.5" customHeight="1" x14ac:dyDescent="0.3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row>
    <row r="45" spans="2:33" ht="13.5" customHeight="1" x14ac:dyDescent="0.3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row>
    <row r="46" spans="2:33" ht="13.5" customHeight="1" x14ac:dyDescent="0.3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row>
    <row r="47" spans="2:33" ht="13.5" customHeight="1" x14ac:dyDescent="0.3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row>
    <row r="48" spans="2:33" ht="13.5" customHeight="1" x14ac:dyDescent="0.3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row>
    <row r="49" spans="2:33" ht="13.5" customHeight="1" x14ac:dyDescent="0.3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row>
    <row r="50" spans="2:33" ht="13.5" customHeight="1" x14ac:dyDescent="0.3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row>
    <row r="51" spans="2:33" ht="13.5" customHeight="1" x14ac:dyDescent="0.3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row>
    <row r="52" spans="2:33" ht="13.5" customHeight="1" x14ac:dyDescent="0.3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row>
    <row r="53" spans="2:33" ht="13.5" customHeight="1" x14ac:dyDescent="0.3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row>
    <row r="54" spans="2:33" ht="13.5" customHeight="1" x14ac:dyDescent="0.3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row>
    <row r="55" spans="2:33" ht="13.5" customHeight="1" x14ac:dyDescent="0.3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sheetData>
  <mergeCells count="2">
    <mergeCell ref="A13:AJ13"/>
    <mergeCell ref="A14:AJ14"/>
  </mergeCells>
  <phoneticPr fontId="1"/>
  <pageMargins left="0.47244094488188981" right="0.47244094488188981" top="0.70866141732283472" bottom="0.59055118110236227" header="0.39370078740157483" footer="0.31496062992125984"/>
  <pageSetup paperSize="9" scale="83" orientation="portrait" r:id="rId1"/>
  <headerFooter alignWithMargins="0">
    <oddHeader>&amp;R&amp;D</oddHead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CFCE-227B-4B39-92F4-1B92A179563D}">
  <dimension ref="A1:AM60"/>
  <sheetViews>
    <sheetView showGridLines="0" zoomScale="145" zoomScaleNormal="145" zoomScaleSheetLayoutView="160" workbookViewId="0"/>
  </sheetViews>
  <sheetFormatPr defaultColWidth="2.58203125" defaultRowHeight="15" x14ac:dyDescent="0.35"/>
  <cols>
    <col min="1" max="16384" width="2.58203125" style="12"/>
  </cols>
  <sheetData>
    <row r="1" spans="1:39" ht="13.5" customHeight="1" x14ac:dyDescent="0.35"/>
    <row r="2" spans="1:39" ht="13.5" customHeight="1" x14ac:dyDescent="0.35"/>
    <row r="3" spans="1:39" ht="13.5" customHeight="1" x14ac:dyDescent="0.35"/>
    <row r="4" spans="1:39" ht="13.5" customHeight="1" x14ac:dyDescent="0.35"/>
    <row r="5" spans="1:39" ht="13.5" customHeight="1" x14ac:dyDescent="0.35"/>
    <row r="6" spans="1:39" ht="13.5" customHeight="1" x14ac:dyDescent="0.35">
      <c r="A6" s="13" t="s">
        <v>184</v>
      </c>
      <c r="B6" s="14"/>
      <c r="C6" s="14"/>
      <c r="D6" s="14"/>
      <c r="E6" s="14"/>
      <c r="F6" s="14"/>
      <c r="G6" s="14"/>
      <c r="H6" s="14"/>
      <c r="I6" s="14"/>
      <c r="J6" s="14"/>
      <c r="K6" s="14"/>
      <c r="L6" s="14"/>
      <c r="M6" s="14"/>
      <c r="N6" s="14"/>
      <c r="O6" s="14"/>
      <c r="P6" s="14"/>
      <c r="Q6" s="14"/>
      <c r="R6" s="14"/>
      <c r="S6" s="14"/>
      <c r="T6" s="14"/>
      <c r="U6" s="14"/>
      <c r="V6" s="14"/>
      <c r="W6" s="14"/>
      <c r="X6" s="14"/>
      <c r="Y6" s="14"/>
      <c r="Z6" s="14"/>
      <c r="AA6" s="14"/>
      <c r="AB6" s="14" t="s">
        <v>236</v>
      </c>
      <c r="AC6" s="14"/>
      <c r="AD6" s="14"/>
      <c r="AE6" s="14"/>
      <c r="AF6" s="14"/>
      <c r="AG6" s="14"/>
      <c r="AH6" s="14"/>
      <c r="AI6" s="14"/>
      <c r="AJ6" s="14"/>
      <c r="AK6" s="14"/>
      <c r="AL6" s="14"/>
      <c r="AM6" s="14"/>
    </row>
    <row r="7" spans="1:39" ht="13.5" customHeight="1" x14ac:dyDescent="0.35"/>
    <row r="8" spans="1:39" ht="13.5" customHeight="1" thickBot="1" x14ac:dyDescent="0.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spans="1:39" ht="13.5" customHeight="1" thickBot="1" x14ac:dyDescent="0.4">
      <c r="B9" s="15"/>
      <c r="C9" s="49" t="s">
        <v>185</v>
      </c>
      <c r="D9" s="50"/>
      <c r="E9" s="50"/>
      <c r="F9" s="50"/>
      <c r="G9" s="51" t="s">
        <v>186</v>
      </c>
      <c r="H9" s="52"/>
      <c r="I9" s="53"/>
      <c r="J9" s="52" t="s">
        <v>187</v>
      </c>
      <c r="K9" s="50"/>
      <c r="L9" s="50"/>
      <c r="M9" s="50"/>
      <c r="N9" s="50"/>
      <c r="O9" s="50"/>
      <c r="P9" s="50"/>
      <c r="Q9" s="50"/>
      <c r="R9" s="50"/>
      <c r="S9" s="50"/>
      <c r="T9" s="50"/>
      <c r="U9" s="50"/>
      <c r="V9" s="50"/>
      <c r="W9" s="50"/>
      <c r="X9" s="50"/>
      <c r="Y9" s="50"/>
      <c r="Z9" s="50"/>
      <c r="AA9" s="50"/>
      <c r="AB9" s="50"/>
      <c r="AC9" s="50"/>
      <c r="AD9" s="50"/>
      <c r="AE9" s="50"/>
      <c r="AF9" s="50"/>
      <c r="AG9" s="50"/>
      <c r="AH9" s="54"/>
    </row>
    <row r="10" spans="1:39" ht="13.5" customHeight="1" x14ac:dyDescent="0.35">
      <c r="B10" s="15"/>
      <c r="C10" s="55" t="s">
        <v>386</v>
      </c>
      <c r="D10" s="32"/>
      <c r="E10" s="32"/>
      <c r="F10" s="56"/>
      <c r="G10" s="32" t="s">
        <v>188</v>
      </c>
      <c r="H10" s="32"/>
      <c r="I10" s="32"/>
      <c r="J10" s="57" t="s">
        <v>189</v>
      </c>
      <c r="K10" s="32"/>
      <c r="L10" s="32"/>
      <c r="M10" s="32"/>
      <c r="N10" s="32"/>
      <c r="O10" s="32"/>
      <c r="P10" s="32"/>
      <c r="Q10" s="32"/>
      <c r="R10" s="32"/>
      <c r="S10" s="32"/>
      <c r="T10" s="32"/>
      <c r="U10" s="32"/>
      <c r="V10" s="32"/>
      <c r="W10" s="32"/>
      <c r="X10" s="32"/>
      <c r="Y10" s="32"/>
      <c r="Z10" s="32"/>
      <c r="AA10" s="32"/>
      <c r="AB10" s="32"/>
      <c r="AC10" s="32"/>
      <c r="AD10" s="32"/>
      <c r="AE10" s="32"/>
      <c r="AF10" s="32"/>
      <c r="AG10" s="32"/>
      <c r="AH10" s="58"/>
    </row>
    <row r="11" spans="1:39" ht="13.5" customHeight="1" x14ac:dyDescent="0.35">
      <c r="B11" s="15"/>
      <c r="C11" s="55"/>
      <c r="D11" s="32"/>
      <c r="E11" s="32"/>
      <c r="F11" s="59"/>
      <c r="G11" s="32"/>
      <c r="H11" s="32"/>
      <c r="I11" s="32"/>
      <c r="J11" s="60"/>
      <c r="K11" s="32"/>
      <c r="L11" s="32"/>
      <c r="M11" s="32"/>
      <c r="N11" s="32"/>
      <c r="O11" s="32"/>
      <c r="P11" s="32"/>
      <c r="Q11" s="32"/>
      <c r="R11" s="32"/>
      <c r="S11" s="32"/>
      <c r="T11" s="32"/>
      <c r="U11" s="32"/>
      <c r="V11" s="32"/>
      <c r="W11" s="32"/>
      <c r="X11" s="32"/>
      <c r="Y11" s="32"/>
      <c r="Z11" s="32"/>
      <c r="AA11" s="32"/>
      <c r="AB11" s="32"/>
      <c r="AC11" s="32"/>
      <c r="AD11" s="32"/>
      <c r="AE11" s="32"/>
      <c r="AF11" s="32"/>
      <c r="AG11" s="32"/>
      <c r="AH11" s="58"/>
    </row>
    <row r="12" spans="1:39" ht="13.5" customHeight="1" x14ac:dyDescent="0.35">
      <c r="B12" s="15"/>
      <c r="C12" s="61"/>
      <c r="D12" s="62"/>
      <c r="E12" s="62"/>
      <c r="F12" s="63"/>
      <c r="G12" s="62"/>
      <c r="H12" s="62"/>
      <c r="I12" s="62"/>
      <c r="J12" s="64"/>
      <c r="K12" s="62"/>
      <c r="L12" s="62"/>
      <c r="M12" s="62"/>
      <c r="N12" s="62"/>
      <c r="O12" s="62"/>
      <c r="P12" s="62"/>
      <c r="Q12" s="62"/>
      <c r="R12" s="62"/>
      <c r="S12" s="62"/>
      <c r="T12" s="62"/>
      <c r="U12" s="62"/>
      <c r="V12" s="62"/>
      <c r="W12" s="62"/>
      <c r="X12" s="62"/>
      <c r="Y12" s="62"/>
      <c r="Z12" s="62"/>
      <c r="AA12" s="62"/>
      <c r="AB12" s="62"/>
      <c r="AC12" s="62"/>
      <c r="AD12" s="62"/>
      <c r="AE12" s="62"/>
      <c r="AF12" s="62"/>
      <c r="AG12" s="62"/>
      <c r="AH12" s="65"/>
    </row>
    <row r="13" spans="1:39" ht="13.5" customHeight="1" x14ac:dyDescent="0.35">
      <c r="B13" s="15"/>
      <c r="C13" s="61"/>
      <c r="D13" s="62"/>
      <c r="E13" s="62"/>
      <c r="F13" s="63"/>
      <c r="G13" s="32"/>
      <c r="H13" s="62"/>
      <c r="I13" s="62"/>
      <c r="J13" s="64"/>
      <c r="K13" s="62"/>
      <c r="L13" s="62"/>
      <c r="M13" s="62"/>
      <c r="N13" s="62"/>
      <c r="O13" s="62"/>
      <c r="P13" s="62"/>
      <c r="Q13" s="62"/>
      <c r="R13" s="62"/>
      <c r="S13" s="62"/>
      <c r="T13" s="62"/>
      <c r="U13" s="62"/>
      <c r="V13" s="62"/>
      <c r="W13" s="62"/>
      <c r="X13" s="62"/>
      <c r="Y13" s="62"/>
      <c r="Z13" s="62"/>
      <c r="AA13" s="62"/>
      <c r="AB13" s="62"/>
      <c r="AC13" s="62"/>
      <c r="AD13" s="62"/>
      <c r="AE13" s="62"/>
      <c r="AF13" s="62"/>
      <c r="AG13" s="62"/>
      <c r="AH13" s="65"/>
    </row>
    <row r="14" spans="1:39" ht="13.5" customHeight="1" x14ac:dyDescent="0.35">
      <c r="B14" s="15"/>
      <c r="C14" s="61"/>
      <c r="D14" s="66"/>
      <c r="E14" s="66"/>
      <c r="F14" s="67"/>
      <c r="G14" s="66"/>
      <c r="H14" s="66"/>
      <c r="I14" s="66"/>
      <c r="J14" s="64"/>
      <c r="K14" s="66"/>
      <c r="L14" s="66"/>
      <c r="M14" s="62"/>
      <c r="N14" s="62"/>
      <c r="O14" s="62"/>
      <c r="P14" s="62"/>
      <c r="Q14" s="62"/>
      <c r="R14" s="62"/>
      <c r="S14" s="62"/>
      <c r="T14" s="62"/>
      <c r="U14" s="62"/>
      <c r="V14" s="62"/>
      <c r="W14" s="62"/>
      <c r="X14" s="62"/>
      <c r="Y14" s="62"/>
      <c r="Z14" s="62"/>
      <c r="AA14" s="62"/>
      <c r="AB14" s="62"/>
      <c r="AC14" s="62"/>
      <c r="AD14" s="62"/>
      <c r="AE14" s="62"/>
      <c r="AF14" s="62"/>
      <c r="AG14" s="62"/>
      <c r="AH14" s="65"/>
    </row>
    <row r="15" spans="1:39" ht="13.5" customHeight="1" x14ac:dyDescent="0.35">
      <c r="B15" s="15"/>
      <c r="C15" s="68"/>
      <c r="D15" s="66"/>
      <c r="E15" s="66"/>
      <c r="F15" s="67"/>
      <c r="G15" s="66"/>
      <c r="H15" s="66"/>
      <c r="I15" s="66"/>
      <c r="J15" s="64"/>
      <c r="K15" s="66"/>
      <c r="L15" s="66"/>
      <c r="M15" s="62"/>
      <c r="N15" s="62"/>
      <c r="O15" s="62"/>
      <c r="P15" s="62"/>
      <c r="Q15" s="62"/>
      <c r="R15" s="62"/>
      <c r="S15" s="62"/>
      <c r="T15" s="62"/>
      <c r="U15" s="62"/>
      <c r="V15" s="62"/>
      <c r="W15" s="62"/>
      <c r="X15" s="62"/>
      <c r="Y15" s="62"/>
      <c r="Z15" s="62"/>
      <c r="AA15" s="62"/>
      <c r="AB15" s="62"/>
      <c r="AC15" s="62"/>
      <c r="AD15" s="62"/>
      <c r="AE15" s="62"/>
      <c r="AF15" s="62"/>
      <c r="AG15" s="62"/>
      <c r="AH15" s="65"/>
    </row>
    <row r="16" spans="1:39" ht="13.5" customHeight="1" x14ac:dyDescent="0.35">
      <c r="B16" s="15"/>
      <c r="C16" s="61"/>
      <c r="D16" s="66"/>
      <c r="E16" s="66"/>
      <c r="F16" s="67"/>
      <c r="G16" s="32"/>
      <c r="H16" s="66"/>
      <c r="I16" s="66"/>
      <c r="J16" s="64"/>
      <c r="K16" s="66"/>
      <c r="L16" s="66"/>
      <c r="M16" s="62"/>
      <c r="N16" s="62"/>
      <c r="O16" s="62"/>
      <c r="P16" s="62"/>
      <c r="Q16" s="62"/>
      <c r="R16" s="62"/>
      <c r="S16" s="62"/>
      <c r="T16" s="62"/>
      <c r="U16" s="62"/>
      <c r="V16" s="62"/>
      <c r="W16" s="62"/>
      <c r="X16" s="62"/>
      <c r="Y16" s="62"/>
      <c r="Z16" s="62"/>
      <c r="AA16" s="62"/>
      <c r="AB16" s="62"/>
      <c r="AC16" s="62"/>
      <c r="AD16" s="62"/>
      <c r="AE16" s="62"/>
      <c r="AF16" s="62"/>
      <c r="AG16" s="62"/>
      <c r="AH16" s="65"/>
    </row>
    <row r="17" spans="2:34" ht="13.5" customHeight="1" x14ac:dyDescent="0.35">
      <c r="B17" s="15"/>
      <c r="C17" s="61"/>
      <c r="D17" s="66"/>
      <c r="E17" s="66"/>
      <c r="F17" s="67"/>
      <c r="G17" s="66"/>
      <c r="H17" s="66"/>
      <c r="I17" s="66"/>
      <c r="J17" s="64"/>
      <c r="K17" s="66"/>
      <c r="L17" s="66"/>
      <c r="M17" s="62"/>
      <c r="N17" s="62"/>
      <c r="O17" s="62"/>
      <c r="P17" s="62"/>
      <c r="Q17" s="62"/>
      <c r="R17" s="62"/>
      <c r="S17" s="62"/>
      <c r="T17" s="62"/>
      <c r="U17" s="62"/>
      <c r="V17" s="62"/>
      <c r="W17" s="62"/>
      <c r="X17" s="62"/>
      <c r="Y17" s="62"/>
      <c r="Z17" s="62"/>
      <c r="AA17" s="62"/>
      <c r="AB17" s="62"/>
      <c r="AC17" s="62"/>
      <c r="AD17" s="62"/>
      <c r="AE17" s="62"/>
      <c r="AF17" s="62"/>
      <c r="AG17" s="62"/>
      <c r="AH17" s="65"/>
    </row>
    <row r="18" spans="2:34" ht="13.5" customHeight="1" x14ac:dyDescent="0.35">
      <c r="B18" s="15"/>
      <c r="C18" s="61"/>
      <c r="D18" s="66"/>
      <c r="E18" s="66"/>
      <c r="F18" s="67"/>
      <c r="G18" s="66"/>
      <c r="H18" s="66"/>
      <c r="I18" s="66"/>
      <c r="J18" s="64"/>
      <c r="K18" s="66"/>
      <c r="L18" s="66"/>
      <c r="M18" s="62"/>
      <c r="N18" s="62"/>
      <c r="O18" s="62"/>
      <c r="P18" s="62"/>
      <c r="Q18" s="62"/>
      <c r="R18" s="62"/>
      <c r="S18" s="62"/>
      <c r="T18" s="62"/>
      <c r="U18" s="62"/>
      <c r="V18" s="62"/>
      <c r="W18" s="62"/>
      <c r="X18" s="62"/>
      <c r="Y18" s="62"/>
      <c r="Z18" s="62"/>
      <c r="AA18" s="62"/>
      <c r="AB18" s="62"/>
      <c r="AC18" s="62"/>
      <c r="AD18" s="62"/>
      <c r="AE18" s="62"/>
      <c r="AF18" s="62"/>
      <c r="AG18" s="62"/>
      <c r="AH18" s="65"/>
    </row>
    <row r="19" spans="2:34" ht="13.5" customHeight="1" x14ac:dyDescent="0.35">
      <c r="B19" s="15"/>
      <c r="C19" s="61"/>
      <c r="D19" s="66"/>
      <c r="E19" s="66"/>
      <c r="F19" s="67"/>
      <c r="G19" s="66"/>
      <c r="H19" s="66"/>
      <c r="I19" s="66"/>
      <c r="J19" s="64"/>
      <c r="K19" s="66"/>
      <c r="L19" s="66"/>
      <c r="M19" s="62"/>
      <c r="N19" s="62"/>
      <c r="O19" s="62"/>
      <c r="P19" s="62"/>
      <c r="Q19" s="62"/>
      <c r="R19" s="62"/>
      <c r="S19" s="62"/>
      <c r="T19" s="62"/>
      <c r="U19" s="62"/>
      <c r="V19" s="62"/>
      <c r="W19" s="62"/>
      <c r="X19" s="62"/>
      <c r="Y19" s="62"/>
      <c r="Z19" s="62"/>
      <c r="AA19" s="62"/>
      <c r="AB19" s="62"/>
      <c r="AC19" s="62"/>
      <c r="AD19" s="62"/>
      <c r="AE19" s="62"/>
      <c r="AF19" s="62"/>
      <c r="AG19" s="62"/>
      <c r="AH19" s="65"/>
    </row>
    <row r="20" spans="2:34" ht="13.5" customHeight="1" x14ac:dyDescent="0.35">
      <c r="B20" s="15"/>
      <c r="C20" s="61"/>
      <c r="D20" s="62"/>
      <c r="E20" s="66"/>
      <c r="F20" s="67"/>
      <c r="G20" s="66"/>
      <c r="H20" s="66"/>
      <c r="I20" s="66"/>
      <c r="J20" s="64"/>
      <c r="K20" s="66"/>
      <c r="L20" s="66"/>
      <c r="M20" s="62"/>
      <c r="N20" s="62"/>
      <c r="O20" s="62"/>
      <c r="P20" s="62"/>
      <c r="Q20" s="62"/>
      <c r="R20" s="62"/>
      <c r="S20" s="62"/>
      <c r="T20" s="62"/>
      <c r="U20" s="62"/>
      <c r="V20" s="62"/>
      <c r="W20" s="62"/>
      <c r="X20" s="62"/>
      <c r="Y20" s="62"/>
      <c r="Z20" s="62"/>
      <c r="AA20" s="62"/>
      <c r="AB20" s="62"/>
      <c r="AC20" s="62"/>
      <c r="AD20" s="62"/>
      <c r="AE20" s="62"/>
      <c r="AF20" s="62"/>
      <c r="AG20" s="62"/>
      <c r="AH20" s="65"/>
    </row>
    <row r="21" spans="2:34" ht="13.5" customHeight="1" x14ac:dyDescent="0.35">
      <c r="B21" s="15"/>
      <c r="C21" s="61"/>
      <c r="D21" s="62"/>
      <c r="E21" s="66"/>
      <c r="F21" s="67"/>
      <c r="G21" s="66"/>
      <c r="H21" s="66"/>
      <c r="I21" s="66"/>
      <c r="J21" s="64"/>
      <c r="K21" s="66"/>
      <c r="L21" s="66"/>
      <c r="M21" s="62"/>
      <c r="N21" s="62"/>
      <c r="O21" s="62"/>
      <c r="P21" s="62"/>
      <c r="Q21" s="62"/>
      <c r="R21" s="62"/>
      <c r="S21" s="62"/>
      <c r="T21" s="62"/>
      <c r="U21" s="62"/>
      <c r="V21" s="62"/>
      <c r="W21" s="62"/>
      <c r="X21" s="62"/>
      <c r="Y21" s="62"/>
      <c r="Z21" s="62"/>
      <c r="AA21" s="62"/>
      <c r="AB21" s="62"/>
      <c r="AC21" s="62"/>
      <c r="AD21" s="62"/>
      <c r="AE21" s="62"/>
      <c r="AF21" s="62"/>
      <c r="AG21" s="62"/>
      <c r="AH21" s="65"/>
    </row>
    <row r="22" spans="2:34" ht="13.5" customHeight="1" x14ac:dyDescent="0.35">
      <c r="B22" s="15"/>
      <c r="C22" s="61"/>
      <c r="D22" s="66"/>
      <c r="E22" s="66"/>
      <c r="F22" s="67"/>
      <c r="G22" s="66"/>
      <c r="H22" s="66"/>
      <c r="I22" s="66"/>
      <c r="J22" s="64"/>
      <c r="K22" s="66"/>
      <c r="L22" s="66"/>
      <c r="M22" s="62"/>
      <c r="N22" s="62"/>
      <c r="O22" s="62"/>
      <c r="P22" s="62"/>
      <c r="Q22" s="62"/>
      <c r="R22" s="62"/>
      <c r="S22" s="62"/>
      <c r="T22" s="62"/>
      <c r="U22" s="62"/>
      <c r="V22" s="62"/>
      <c r="W22" s="62"/>
      <c r="X22" s="62"/>
      <c r="Y22" s="62"/>
      <c r="Z22" s="62"/>
      <c r="AA22" s="62"/>
      <c r="AB22" s="62"/>
      <c r="AC22" s="62"/>
      <c r="AD22" s="62"/>
      <c r="AE22" s="62"/>
      <c r="AF22" s="62"/>
      <c r="AG22" s="62"/>
      <c r="AH22" s="65"/>
    </row>
    <row r="23" spans="2:34" ht="13.5" customHeight="1" x14ac:dyDescent="0.35">
      <c r="B23" s="15"/>
      <c r="C23" s="61"/>
      <c r="D23" s="66"/>
      <c r="E23" s="66"/>
      <c r="F23" s="67"/>
      <c r="G23" s="66"/>
      <c r="H23" s="66"/>
      <c r="I23" s="66"/>
      <c r="J23" s="64"/>
      <c r="K23" s="66"/>
      <c r="L23" s="66"/>
      <c r="M23" s="62"/>
      <c r="N23" s="62"/>
      <c r="O23" s="62"/>
      <c r="P23" s="62"/>
      <c r="Q23" s="62"/>
      <c r="R23" s="62"/>
      <c r="S23" s="62"/>
      <c r="T23" s="62"/>
      <c r="U23" s="62"/>
      <c r="V23" s="62"/>
      <c r="W23" s="62"/>
      <c r="X23" s="62"/>
      <c r="Y23" s="62"/>
      <c r="Z23" s="62"/>
      <c r="AA23" s="62"/>
      <c r="AB23" s="62"/>
      <c r="AC23" s="62"/>
      <c r="AD23" s="62"/>
      <c r="AE23" s="62"/>
      <c r="AF23" s="62"/>
      <c r="AG23" s="62"/>
      <c r="AH23" s="65"/>
    </row>
    <row r="24" spans="2:34" ht="13.5" customHeight="1" x14ac:dyDescent="0.35">
      <c r="B24" s="15"/>
      <c r="C24" s="61"/>
      <c r="D24" s="66"/>
      <c r="E24" s="66"/>
      <c r="F24" s="67"/>
      <c r="G24" s="66"/>
      <c r="H24" s="66"/>
      <c r="I24" s="66"/>
      <c r="J24" s="64"/>
      <c r="K24" s="66"/>
      <c r="L24" s="66"/>
      <c r="M24" s="62"/>
      <c r="N24" s="62"/>
      <c r="O24" s="62"/>
      <c r="P24" s="62"/>
      <c r="Q24" s="62"/>
      <c r="R24" s="62"/>
      <c r="S24" s="62"/>
      <c r="T24" s="62"/>
      <c r="U24" s="62"/>
      <c r="V24" s="62"/>
      <c r="W24" s="62"/>
      <c r="X24" s="62"/>
      <c r="Y24" s="62"/>
      <c r="Z24" s="62"/>
      <c r="AA24" s="62"/>
      <c r="AB24" s="62"/>
      <c r="AC24" s="62"/>
      <c r="AD24" s="62"/>
      <c r="AE24" s="62"/>
      <c r="AF24" s="62"/>
      <c r="AG24" s="62"/>
      <c r="AH24" s="65"/>
    </row>
    <row r="25" spans="2:34" ht="13.5" customHeight="1" x14ac:dyDescent="0.35">
      <c r="B25" s="15"/>
      <c r="C25" s="61"/>
      <c r="D25" s="66"/>
      <c r="E25" s="66"/>
      <c r="F25" s="67"/>
      <c r="G25" s="66"/>
      <c r="H25" s="66"/>
      <c r="I25" s="66"/>
      <c r="J25" s="64"/>
      <c r="K25" s="66"/>
      <c r="L25" s="66"/>
      <c r="M25" s="62"/>
      <c r="N25" s="62"/>
      <c r="O25" s="62"/>
      <c r="P25" s="62"/>
      <c r="Q25" s="62"/>
      <c r="R25" s="62"/>
      <c r="S25" s="62"/>
      <c r="T25" s="62"/>
      <c r="U25" s="62"/>
      <c r="V25" s="62"/>
      <c r="W25" s="62"/>
      <c r="X25" s="62"/>
      <c r="Y25" s="62"/>
      <c r="Z25" s="62"/>
      <c r="AA25" s="62"/>
      <c r="AB25" s="62"/>
      <c r="AC25" s="62"/>
      <c r="AD25" s="62"/>
      <c r="AE25" s="62"/>
      <c r="AF25" s="62"/>
      <c r="AG25" s="62"/>
      <c r="AH25" s="65"/>
    </row>
    <row r="26" spans="2:34" ht="13.5" customHeight="1" x14ac:dyDescent="0.35">
      <c r="B26" s="15"/>
      <c r="C26" s="61"/>
      <c r="D26" s="66"/>
      <c r="E26" s="66"/>
      <c r="F26" s="67"/>
      <c r="G26" s="66"/>
      <c r="H26" s="66"/>
      <c r="I26" s="66"/>
      <c r="J26" s="64"/>
      <c r="K26" s="66"/>
      <c r="L26" s="66"/>
      <c r="M26" s="62"/>
      <c r="N26" s="62"/>
      <c r="O26" s="62"/>
      <c r="P26" s="62"/>
      <c r="Q26" s="62"/>
      <c r="R26" s="62"/>
      <c r="S26" s="62"/>
      <c r="T26" s="62"/>
      <c r="U26" s="62"/>
      <c r="V26" s="62"/>
      <c r="W26" s="62"/>
      <c r="X26" s="62"/>
      <c r="Y26" s="62"/>
      <c r="Z26" s="62"/>
      <c r="AA26" s="62"/>
      <c r="AB26" s="62"/>
      <c r="AC26" s="62"/>
      <c r="AD26" s="62"/>
      <c r="AE26" s="62"/>
      <c r="AF26" s="62"/>
      <c r="AG26" s="62"/>
      <c r="AH26" s="65"/>
    </row>
    <row r="27" spans="2:34" ht="13.5" customHeight="1" x14ac:dyDescent="0.35">
      <c r="B27" s="15"/>
      <c r="C27" s="61"/>
      <c r="D27" s="62"/>
      <c r="E27" s="62"/>
      <c r="F27" s="63"/>
      <c r="G27" s="62"/>
      <c r="H27" s="62"/>
      <c r="I27" s="62"/>
      <c r="J27" s="64"/>
      <c r="K27" s="62"/>
      <c r="L27" s="62"/>
      <c r="M27" s="62"/>
      <c r="N27" s="62"/>
      <c r="O27" s="62"/>
      <c r="P27" s="62"/>
      <c r="Q27" s="62"/>
      <c r="R27" s="62"/>
      <c r="S27" s="62"/>
      <c r="T27" s="62"/>
      <c r="U27" s="62"/>
      <c r="V27" s="62"/>
      <c r="W27" s="62"/>
      <c r="X27" s="62"/>
      <c r="Y27" s="62"/>
      <c r="Z27" s="62"/>
      <c r="AA27" s="62"/>
      <c r="AB27" s="62"/>
      <c r="AC27" s="62"/>
      <c r="AD27" s="62"/>
      <c r="AE27" s="62"/>
      <c r="AF27" s="62"/>
      <c r="AG27" s="62"/>
      <c r="AH27" s="65"/>
    </row>
    <row r="28" spans="2:34" ht="13.5" customHeight="1" x14ac:dyDescent="0.35">
      <c r="B28" s="15"/>
      <c r="C28" s="61"/>
      <c r="D28" s="62"/>
      <c r="E28" s="62"/>
      <c r="F28" s="63"/>
      <c r="G28" s="62"/>
      <c r="H28" s="62"/>
      <c r="I28" s="62"/>
      <c r="J28" s="64"/>
      <c r="K28" s="62"/>
      <c r="L28" s="62"/>
      <c r="M28" s="62"/>
      <c r="N28" s="62"/>
      <c r="O28" s="62"/>
      <c r="P28" s="62"/>
      <c r="Q28" s="62"/>
      <c r="R28" s="62"/>
      <c r="S28" s="62"/>
      <c r="T28" s="62"/>
      <c r="U28" s="62"/>
      <c r="V28" s="62"/>
      <c r="W28" s="62"/>
      <c r="X28" s="62"/>
      <c r="Y28" s="62"/>
      <c r="Z28" s="62"/>
      <c r="AA28" s="62"/>
      <c r="AB28" s="62"/>
      <c r="AC28" s="62"/>
      <c r="AD28" s="62"/>
      <c r="AE28" s="62"/>
      <c r="AF28" s="62"/>
      <c r="AG28" s="62"/>
      <c r="AH28" s="65"/>
    </row>
    <row r="29" spans="2:34" ht="13.5" customHeight="1" x14ac:dyDescent="0.35">
      <c r="B29" s="15"/>
      <c r="C29" s="61"/>
      <c r="D29" s="62"/>
      <c r="E29" s="62"/>
      <c r="F29" s="63"/>
      <c r="G29" s="62"/>
      <c r="H29" s="62"/>
      <c r="I29" s="62"/>
      <c r="J29" s="64"/>
      <c r="K29" s="62"/>
      <c r="L29" s="62"/>
      <c r="M29" s="62"/>
      <c r="N29" s="62"/>
      <c r="O29" s="62"/>
      <c r="P29" s="62"/>
      <c r="Q29" s="62"/>
      <c r="R29" s="62"/>
      <c r="S29" s="62"/>
      <c r="T29" s="62"/>
      <c r="U29" s="62"/>
      <c r="V29" s="62"/>
      <c r="W29" s="62"/>
      <c r="X29" s="62"/>
      <c r="Y29" s="62"/>
      <c r="Z29" s="62"/>
      <c r="AA29" s="62"/>
      <c r="AB29" s="62"/>
      <c r="AC29" s="62"/>
      <c r="AD29" s="62"/>
      <c r="AE29" s="62"/>
      <c r="AF29" s="62"/>
      <c r="AG29" s="62"/>
      <c r="AH29" s="65"/>
    </row>
    <row r="30" spans="2:34" ht="13.5" customHeight="1" x14ac:dyDescent="0.35">
      <c r="B30" s="15"/>
      <c r="C30" s="61"/>
      <c r="D30" s="62"/>
      <c r="E30" s="62"/>
      <c r="F30" s="63"/>
      <c r="G30" s="62"/>
      <c r="H30" s="62"/>
      <c r="I30" s="62"/>
      <c r="J30" s="86"/>
      <c r="K30" s="62"/>
      <c r="L30" s="62"/>
      <c r="M30" s="62"/>
      <c r="N30" s="62"/>
      <c r="O30" s="62"/>
      <c r="P30" s="62"/>
      <c r="Q30" s="62"/>
      <c r="R30" s="62"/>
      <c r="S30" s="62"/>
      <c r="T30" s="62"/>
      <c r="U30" s="62"/>
      <c r="V30" s="62"/>
      <c r="W30" s="62"/>
      <c r="X30" s="62"/>
      <c r="Y30" s="62"/>
      <c r="Z30" s="62"/>
      <c r="AA30" s="62"/>
      <c r="AB30" s="62"/>
      <c r="AC30" s="62"/>
      <c r="AD30" s="62"/>
      <c r="AE30" s="62"/>
      <c r="AF30" s="62"/>
      <c r="AG30" s="62"/>
      <c r="AH30" s="65"/>
    </row>
    <row r="31" spans="2:34" ht="13.5" customHeight="1" x14ac:dyDescent="0.35">
      <c r="B31" s="15"/>
      <c r="C31" s="61"/>
      <c r="D31" s="62"/>
      <c r="E31" s="62"/>
      <c r="F31" s="63"/>
      <c r="G31" s="62"/>
      <c r="H31" s="62"/>
      <c r="I31" s="62"/>
      <c r="J31" s="64"/>
      <c r="K31" s="62"/>
      <c r="L31" s="62"/>
      <c r="M31" s="62"/>
      <c r="N31" s="62"/>
      <c r="O31" s="62"/>
      <c r="P31" s="62"/>
      <c r="Q31" s="62"/>
      <c r="R31" s="62"/>
      <c r="S31" s="62"/>
      <c r="T31" s="62"/>
      <c r="U31" s="62"/>
      <c r="V31" s="62"/>
      <c r="W31" s="62"/>
      <c r="X31" s="62"/>
      <c r="Y31" s="62"/>
      <c r="Z31" s="62"/>
      <c r="AA31" s="62"/>
      <c r="AB31" s="62"/>
      <c r="AC31" s="62"/>
      <c r="AD31" s="62"/>
      <c r="AE31" s="62"/>
      <c r="AF31" s="62"/>
      <c r="AG31" s="62"/>
      <c r="AH31" s="65"/>
    </row>
    <row r="32" spans="2:34" ht="13.5" customHeight="1" x14ac:dyDescent="0.35">
      <c r="B32" s="15"/>
      <c r="C32" s="61"/>
      <c r="D32" s="62"/>
      <c r="E32" s="62"/>
      <c r="F32" s="63"/>
      <c r="G32" s="62"/>
      <c r="H32" s="62"/>
      <c r="I32" s="62"/>
      <c r="J32" s="64"/>
      <c r="K32" s="62"/>
      <c r="L32" s="62"/>
      <c r="M32" s="62"/>
      <c r="N32" s="62"/>
      <c r="O32" s="62"/>
      <c r="P32" s="62"/>
      <c r="Q32" s="62"/>
      <c r="R32" s="62"/>
      <c r="S32" s="62"/>
      <c r="T32" s="62"/>
      <c r="U32" s="62"/>
      <c r="V32" s="62"/>
      <c r="W32" s="62"/>
      <c r="X32" s="62"/>
      <c r="Y32" s="62"/>
      <c r="Z32" s="62"/>
      <c r="AA32" s="62"/>
      <c r="AB32" s="62"/>
      <c r="AC32" s="62"/>
      <c r="AD32" s="62"/>
      <c r="AE32" s="62"/>
      <c r="AF32" s="62"/>
      <c r="AG32" s="62"/>
      <c r="AH32" s="65"/>
    </row>
    <row r="33" spans="2:34" ht="13.5" customHeight="1" x14ac:dyDescent="0.35">
      <c r="B33" s="15"/>
      <c r="C33" s="61"/>
      <c r="D33" s="62"/>
      <c r="E33" s="62"/>
      <c r="F33" s="63"/>
      <c r="G33" s="62"/>
      <c r="H33" s="62"/>
      <c r="I33" s="62"/>
      <c r="J33" s="64"/>
      <c r="K33" s="62"/>
      <c r="L33" s="62"/>
      <c r="M33" s="62"/>
      <c r="N33" s="62"/>
      <c r="O33" s="62"/>
      <c r="P33" s="62"/>
      <c r="Q33" s="62"/>
      <c r="R33" s="62"/>
      <c r="S33" s="62"/>
      <c r="T33" s="62"/>
      <c r="U33" s="62"/>
      <c r="V33" s="62"/>
      <c r="W33" s="62"/>
      <c r="X33" s="62"/>
      <c r="Y33" s="62"/>
      <c r="Z33" s="62"/>
      <c r="AA33" s="62"/>
      <c r="AB33" s="62"/>
      <c r="AC33" s="62"/>
      <c r="AD33" s="62"/>
      <c r="AE33" s="62"/>
      <c r="AF33" s="62"/>
      <c r="AG33" s="62"/>
      <c r="AH33" s="65"/>
    </row>
    <row r="34" spans="2:34" ht="13.5" customHeight="1" x14ac:dyDescent="0.35">
      <c r="B34" s="15"/>
      <c r="C34" s="61"/>
      <c r="D34" s="62"/>
      <c r="E34" s="62"/>
      <c r="F34" s="63"/>
      <c r="G34" s="62"/>
      <c r="H34" s="62"/>
      <c r="I34" s="62"/>
      <c r="J34" s="86"/>
      <c r="K34" s="62"/>
      <c r="L34" s="62"/>
      <c r="M34" s="62"/>
      <c r="N34" s="62"/>
      <c r="O34" s="62"/>
      <c r="P34" s="62"/>
      <c r="Q34" s="62"/>
      <c r="R34" s="62"/>
      <c r="S34" s="62"/>
      <c r="T34" s="62"/>
      <c r="U34" s="62"/>
      <c r="V34" s="62"/>
      <c r="W34" s="62"/>
      <c r="X34" s="62"/>
      <c r="Y34" s="62"/>
      <c r="Z34" s="62"/>
      <c r="AA34" s="62"/>
      <c r="AB34" s="62"/>
      <c r="AC34" s="62"/>
      <c r="AD34" s="62"/>
      <c r="AE34" s="62"/>
      <c r="AF34" s="62"/>
      <c r="AG34" s="62"/>
      <c r="AH34" s="65"/>
    </row>
    <row r="35" spans="2:34" ht="13.5" customHeight="1" x14ac:dyDescent="0.35">
      <c r="B35" s="15"/>
      <c r="C35" s="61"/>
      <c r="D35" s="62"/>
      <c r="E35" s="62"/>
      <c r="F35" s="63"/>
      <c r="G35" s="62"/>
      <c r="H35" s="62"/>
      <c r="I35" s="62"/>
      <c r="J35" s="64"/>
      <c r="K35" s="62"/>
      <c r="L35" s="62"/>
      <c r="M35" s="62"/>
      <c r="N35" s="62"/>
      <c r="O35" s="62"/>
      <c r="P35" s="62"/>
      <c r="Q35" s="62"/>
      <c r="R35" s="62"/>
      <c r="S35" s="62"/>
      <c r="T35" s="62"/>
      <c r="U35" s="62"/>
      <c r="V35" s="62"/>
      <c r="W35" s="62"/>
      <c r="X35" s="62"/>
      <c r="Y35" s="62"/>
      <c r="Z35" s="62"/>
      <c r="AA35" s="62"/>
      <c r="AB35" s="62"/>
      <c r="AC35" s="62"/>
      <c r="AD35" s="62"/>
      <c r="AE35" s="62"/>
      <c r="AF35" s="62"/>
      <c r="AG35" s="62"/>
      <c r="AH35" s="65"/>
    </row>
    <row r="36" spans="2:34" ht="13.5" customHeight="1" x14ac:dyDescent="0.35">
      <c r="B36" s="15"/>
      <c r="C36" s="61"/>
      <c r="D36" s="62"/>
      <c r="E36" s="62"/>
      <c r="F36" s="63"/>
      <c r="G36" s="62"/>
      <c r="H36" s="62"/>
      <c r="I36" s="62"/>
      <c r="J36" s="64"/>
      <c r="K36" s="62"/>
      <c r="L36" s="62"/>
      <c r="M36" s="62"/>
      <c r="N36" s="62"/>
      <c r="O36" s="62"/>
      <c r="P36" s="62"/>
      <c r="Q36" s="62"/>
      <c r="R36" s="62"/>
      <c r="S36" s="62"/>
      <c r="T36" s="62"/>
      <c r="U36" s="62"/>
      <c r="V36" s="62"/>
      <c r="W36" s="62"/>
      <c r="X36" s="62"/>
      <c r="Y36" s="62"/>
      <c r="Z36" s="62"/>
      <c r="AA36" s="62"/>
      <c r="AB36" s="62"/>
      <c r="AC36" s="62"/>
      <c r="AD36" s="62"/>
      <c r="AE36" s="62"/>
      <c r="AF36" s="62"/>
      <c r="AG36" s="62"/>
      <c r="AH36" s="65"/>
    </row>
    <row r="37" spans="2:34" ht="13.5" customHeight="1" x14ac:dyDescent="0.35">
      <c r="B37" s="15"/>
      <c r="C37" s="61"/>
      <c r="D37" s="62"/>
      <c r="E37" s="62"/>
      <c r="F37" s="63"/>
      <c r="G37" s="62"/>
      <c r="H37" s="62"/>
      <c r="I37" s="62"/>
      <c r="J37" s="64"/>
      <c r="K37" s="62"/>
      <c r="L37" s="62"/>
      <c r="M37" s="62"/>
      <c r="N37" s="62"/>
      <c r="O37" s="62"/>
      <c r="P37" s="62"/>
      <c r="Q37" s="62"/>
      <c r="R37" s="62"/>
      <c r="S37" s="62"/>
      <c r="T37" s="62"/>
      <c r="U37" s="62"/>
      <c r="V37" s="62"/>
      <c r="W37" s="62"/>
      <c r="X37" s="62"/>
      <c r="Y37" s="62"/>
      <c r="Z37" s="62"/>
      <c r="AA37" s="62"/>
      <c r="AB37" s="62"/>
      <c r="AC37" s="62"/>
      <c r="AD37" s="62"/>
      <c r="AE37" s="62"/>
      <c r="AF37" s="62"/>
      <c r="AG37" s="62"/>
      <c r="AH37" s="65"/>
    </row>
    <row r="38" spans="2:34" ht="13.5" customHeight="1" x14ac:dyDescent="0.35">
      <c r="B38" s="15"/>
      <c r="C38" s="61"/>
      <c r="D38" s="62"/>
      <c r="E38" s="62"/>
      <c r="F38" s="63"/>
      <c r="G38" s="62"/>
      <c r="H38" s="62"/>
      <c r="I38" s="62"/>
      <c r="J38" s="64"/>
      <c r="K38" s="62"/>
      <c r="L38" s="62"/>
      <c r="M38" s="62"/>
      <c r="N38" s="62"/>
      <c r="O38" s="62"/>
      <c r="P38" s="62"/>
      <c r="Q38" s="62"/>
      <c r="R38" s="62"/>
      <c r="S38" s="62"/>
      <c r="T38" s="62"/>
      <c r="U38" s="62"/>
      <c r="V38" s="62"/>
      <c r="W38" s="62"/>
      <c r="X38" s="62"/>
      <c r="Y38" s="62"/>
      <c r="Z38" s="62"/>
      <c r="AA38" s="62"/>
      <c r="AB38" s="62"/>
      <c r="AC38" s="62"/>
      <c r="AD38" s="62"/>
      <c r="AE38" s="62"/>
      <c r="AF38" s="62"/>
      <c r="AG38" s="62"/>
      <c r="AH38" s="65"/>
    </row>
    <row r="39" spans="2:34" ht="13.5" customHeight="1" x14ac:dyDescent="0.35">
      <c r="B39" s="15"/>
      <c r="C39" s="61"/>
      <c r="D39" s="62"/>
      <c r="E39" s="62"/>
      <c r="F39" s="63"/>
      <c r="G39" s="62"/>
      <c r="H39" s="62"/>
      <c r="I39" s="62"/>
      <c r="J39" s="64"/>
      <c r="K39" s="62"/>
      <c r="L39" s="62"/>
      <c r="M39" s="62"/>
      <c r="N39" s="62"/>
      <c r="O39" s="62"/>
      <c r="P39" s="62"/>
      <c r="Q39" s="62"/>
      <c r="R39" s="62"/>
      <c r="S39" s="62"/>
      <c r="T39" s="62"/>
      <c r="U39" s="62"/>
      <c r="V39" s="62"/>
      <c r="W39" s="62"/>
      <c r="X39" s="62"/>
      <c r="Y39" s="62"/>
      <c r="Z39" s="62"/>
      <c r="AA39" s="62"/>
      <c r="AB39" s="62"/>
      <c r="AC39" s="62"/>
      <c r="AD39" s="62"/>
      <c r="AE39" s="62"/>
      <c r="AF39" s="62"/>
      <c r="AG39" s="62"/>
      <c r="AH39" s="65"/>
    </row>
    <row r="40" spans="2:34" ht="13.5" customHeight="1" x14ac:dyDescent="0.35">
      <c r="B40" s="15"/>
      <c r="C40" s="61"/>
      <c r="D40" s="62"/>
      <c r="E40" s="62"/>
      <c r="F40" s="63"/>
      <c r="G40" s="62"/>
      <c r="H40" s="62"/>
      <c r="I40" s="62"/>
      <c r="J40" s="64"/>
      <c r="K40" s="62"/>
      <c r="L40" s="62"/>
      <c r="M40" s="62"/>
      <c r="N40" s="62"/>
      <c r="O40" s="62"/>
      <c r="P40" s="62"/>
      <c r="Q40" s="62"/>
      <c r="R40" s="62"/>
      <c r="S40" s="62"/>
      <c r="T40" s="62"/>
      <c r="U40" s="62"/>
      <c r="V40" s="62"/>
      <c r="W40" s="62"/>
      <c r="X40" s="62"/>
      <c r="Y40" s="62"/>
      <c r="Z40" s="62"/>
      <c r="AA40" s="62"/>
      <c r="AB40" s="62"/>
      <c r="AC40" s="62"/>
      <c r="AD40" s="62"/>
      <c r="AE40" s="62"/>
      <c r="AF40" s="62"/>
      <c r="AG40" s="62"/>
      <c r="AH40" s="65"/>
    </row>
    <row r="41" spans="2:34" ht="13.5" customHeight="1" x14ac:dyDescent="0.35">
      <c r="B41" s="15"/>
      <c r="C41" s="61"/>
      <c r="D41" s="62"/>
      <c r="E41" s="62"/>
      <c r="F41" s="63"/>
      <c r="G41" s="62"/>
      <c r="H41" s="62"/>
      <c r="I41" s="62"/>
      <c r="J41" s="64"/>
      <c r="K41" s="62"/>
      <c r="L41" s="62"/>
      <c r="M41" s="62"/>
      <c r="N41" s="62"/>
      <c r="O41" s="62"/>
      <c r="P41" s="62"/>
      <c r="Q41" s="62"/>
      <c r="R41" s="62"/>
      <c r="S41" s="62"/>
      <c r="T41" s="62"/>
      <c r="U41" s="62"/>
      <c r="V41" s="62"/>
      <c r="W41" s="62"/>
      <c r="X41" s="62"/>
      <c r="Y41" s="62"/>
      <c r="Z41" s="62"/>
      <c r="AA41" s="62"/>
      <c r="AB41" s="62"/>
      <c r="AC41" s="62"/>
      <c r="AD41" s="62"/>
      <c r="AE41" s="62"/>
      <c r="AF41" s="62"/>
      <c r="AG41" s="62"/>
      <c r="AH41" s="65"/>
    </row>
    <row r="42" spans="2:34" ht="13.5" customHeight="1" x14ac:dyDescent="0.35">
      <c r="B42" s="15"/>
      <c r="C42" s="61"/>
      <c r="D42" s="62"/>
      <c r="E42" s="62"/>
      <c r="F42" s="63"/>
      <c r="G42" s="62"/>
      <c r="H42" s="62"/>
      <c r="I42" s="62"/>
      <c r="J42" s="64"/>
      <c r="K42" s="62"/>
      <c r="L42" s="62"/>
      <c r="M42" s="62"/>
      <c r="N42" s="62"/>
      <c r="O42" s="62"/>
      <c r="P42" s="62"/>
      <c r="Q42" s="62"/>
      <c r="R42" s="62"/>
      <c r="S42" s="62"/>
      <c r="T42" s="62"/>
      <c r="U42" s="62"/>
      <c r="V42" s="62"/>
      <c r="W42" s="62"/>
      <c r="X42" s="62"/>
      <c r="Y42" s="62"/>
      <c r="Z42" s="62"/>
      <c r="AA42" s="62"/>
      <c r="AB42" s="62"/>
      <c r="AC42" s="62"/>
      <c r="AD42" s="62"/>
      <c r="AE42" s="62"/>
      <c r="AF42" s="62"/>
      <c r="AG42" s="62"/>
      <c r="AH42" s="65"/>
    </row>
    <row r="43" spans="2:34" ht="13.5" customHeight="1" x14ac:dyDescent="0.35">
      <c r="B43" s="15"/>
      <c r="C43" s="61"/>
      <c r="D43" s="62"/>
      <c r="E43" s="62"/>
      <c r="F43" s="63"/>
      <c r="G43" s="62"/>
      <c r="H43" s="62"/>
      <c r="I43" s="62"/>
      <c r="J43" s="64"/>
      <c r="K43" s="62"/>
      <c r="L43" s="62"/>
      <c r="M43" s="62"/>
      <c r="N43" s="62"/>
      <c r="O43" s="62"/>
      <c r="P43" s="62"/>
      <c r="Q43" s="62"/>
      <c r="R43" s="62"/>
      <c r="S43" s="62"/>
      <c r="T43" s="62"/>
      <c r="U43" s="62"/>
      <c r="V43" s="62"/>
      <c r="W43" s="62"/>
      <c r="X43" s="62"/>
      <c r="Y43" s="62"/>
      <c r="Z43" s="62"/>
      <c r="AA43" s="62"/>
      <c r="AB43" s="62"/>
      <c r="AC43" s="62"/>
      <c r="AD43" s="62"/>
      <c r="AE43" s="62"/>
      <c r="AF43" s="62"/>
      <c r="AG43" s="62"/>
      <c r="AH43" s="65"/>
    </row>
    <row r="44" spans="2:34" ht="13.5" customHeight="1" x14ac:dyDescent="0.35">
      <c r="B44" s="15"/>
      <c r="C44" s="61"/>
      <c r="D44" s="62"/>
      <c r="E44" s="62"/>
      <c r="F44" s="63"/>
      <c r="G44" s="62"/>
      <c r="H44" s="62"/>
      <c r="I44" s="62"/>
      <c r="J44" s="64"/>
      <c r="K44" s="62"/>
      <c r="L44" s="62"/>
      <c r="M44" s="62"/>
      <c r="N44" s="62"/>
      <c r="O44" s="62"/>
      <c r="P44" s="62"/>
      <c r="Q44" s="62"/>
      <c r="R44" s="62"/>
      <c r="S44" s="62"/>
      <c r="T44" s="62"/>
      <c r="U44" s="62"/>
      <c r="V44" s="62"/>
      <c r="W44" s="62"/>
      <c r="X44" s="62"/>
      <c r="Y44" s="62"/>
      <c r="Z44" s="62"/>
      <c r="AA44" s="62"/>
      <c r="AB44" s="62"/>
      <c r="AC44" s="62"/>
      <c r="AD44" s="62"/>
      <c r="AE44" s="62"/>
      <c r="AF44" s="62"/>
      <c r="AG44" s="62"/>
      <c r="AH44" s="65"/>
    </row>
    <row r="45" spans="2:34" ht="13.5" customHeight="1" x14ac:dyDescent="0.35">
      <c r="B45" s="15"/>
      <c r="C45" s="61"/>
      <c r="D45" s="62"/>
      <c r="E45" s="62"/>
      <c r="F45" s="63"/>
      <c r="G45" s="62"/>
      <c r="H45" s="62"/>
      <c r="I45" s="62"/>
      <c r="J45" s="64"/>
      <c r="K45" s="62"/>
      <c r="L45" s="62"/>
      <c r="M45" s="62"/>
      <c r="N45" s="62"/>
      <c r="O45" s="62"/>
      <c r="P45" s="62"/>
      <c r="Q45" s="62"/>
      <c r="R45" s="62"/>
      <c r="S45" s="62"/>
      <c r="T45" s="62"/>
      <c r="U45" s="62"/>
      <c r="V45" s="62"/>
      <c r="W45" s="62"/>
      <c r="X45" s="62"/>
      <c r="Y45" s="62"/>
      <c r="Z45" s="62"/>
      <c r="AA45" s="62"/>
      <c r="AB45" s="62"/>
      <c r="AC45" s="62"/>
      <c r="AD45" s="62"/>
      <c r="AE45" s="62"/>
      <c r="AF45" s="62"/>
      <c r="AG45" s="62"/>
      <c r="AH45" s="65"/>
    </row>
    <row r="46" spans="2:34" ht="13.5" customHeight="1" x14ac:dyDescent="0.35">
      <c r="B46" s="15"/>
      <c r="C46" s="61"/>
      <c r="D46" s="62"/>
      <c r="E46" s="62"/>
      <c r="F46" s="63"/>
      <c r="G46" s="62"/>
      <c r="H46" s="62"/>
      <c r="I46" s="62"/>
      <c r="J46" s="64"/>
      <c r="K46" s="62"/>
      <c r="L46" s="62"/>
      <c r="M46" s="62"/>
      <c r="N46" s="62"/>
      <c r="O46" s="62"/>
      <c r="P46" s="62"/>
      <c r="Q46" s="62"/>
      <c r="R46" s="62"/>
      <c r="S46" s="62"/>
      <c r="T46" s="62"/>
      <c r="U46" s="62"/>
      <c r="V46" s="62"/>
      <c r="W46" s="62"/>
      <c r="X46" s="62"/>
      <c r="Y46" s="62"/>
      <c r="Z46" s="62"/>
      <c r="AA46" s="62"/>
      <c r="AB46" s="62"/>
      <c r="AC46" s="62"/>
      <c r="AD46" s="62"/>
      <c r="AE46" s="62"/>
      <c r="AF46" s="62"/>
      <c r="AG46" s="62"/>
      <c r="AH46" s="65"/>
    </row>
    <row r="47" spans="2:34" ht="13.5" customHeight="1" x14ac:dyDescent="0.35">
      <c r="B47" s="15"/>
      <c r="C47" s="61"/>
      <c r="D47" s="62"/>
      <c r="E47" s="62"/>
      <c r="F47" s="63"/>
      <c r="G47" s="62"/>
      <c r="H47" s="62"/>
      <c r="I47" s="62"/>
      <c r="J47" s="64"/>
      <c r="K47" s="62"/>
      <c r="L47" s="62"/>
      <c r="M47" s="62"/>
      <c r="N47" s="62"/>
      <c r="O47" s="62"/>
      <c r="P47" s="62"/>
      <c r="Q47" s="62"/>
      <c r="R47" s="62"/>
      <c r="S47" s="62"/>
      <c r="T47" s="62"/>
      <c r="U47" s="62"/>
      <c r="V47" s="62"/>
      <c r="W47" s="62"/>
      <c r="X47" s="62"/>
      <c r="Y47" s="62"/>
      <c r="Z47" s="62"/>
      <c r="AA47" s="62"/>
      <c r="AB47" s="62"/>
      <c r="AC47" s="62"/>
      <c r="AD47" s="62"/>
      <c r="AE47" s="62"/>
      <c r="AF47" s="62"/>
      <c r="AG47" s="62"/>
      <c r="AH47" s="65"/>
    </row>
    <row r="48" spans="2:34" ht="13.5" customHeight="1" x14ac:dyDescent="0.35">
      <c r="B48" s="15"/>
      <c r="C48" s="61"/>
      <c r="D48" s="62"/>
      <c r="E48" s="62"/>
      <c r="F48" s="63"/>
      <c r="G48" s="62"/>
      <c r="H48" s="62"/>
      <c r="I48" s="62"/>
      <c r="J48" s="64"/>
      <c r="K48" s="62"/>
      <c r="L48" s="62"/>
      <c r="M48" s="62"/>
      <c r="N48" s="62"/>
      <c r="O48" s="62"/>
      <c r="P48" s="62"/>
      <c r="Q48" s="62"/>
      <c r="R48" s="62"/>
      <c r="S48" s="62"/>
      <c r="T48" s="62"/>
      <c r="U48" s="62"/>
      <c r="V48" s="62"/>
      <c r="W48" s="62"/>
      <c r="X48" s="62"/>
      <c r="Y48" s="62"/>
      <c r="Z48" s="62"/>
      <c r="AA48" s="62"/>
      <c r="AB48" s="62"/>
      <c r="AC48" s="62"/>
      <c r="AD48" s="62"/>
      <c r="AE48" s="62"/>
      <c r="AF48" s="62"/>
      <c r="AG48" s="62"/>
      <c r="AH48" s="65"/>
    </row>
    <row r="49" spans="2:34" ht="13.5" customHeight="1" x14ac:dyDescent="0.35">
      <c r="B49" s="15"/>
      <c r="C49" s="61"/>
      <c r="D49" s="62"/>
      <c r="E49" s="62"/>
      <c r="F49" s="63"/>
      <c r="G49" s="62"/>
      <c r="H49" s="62"/>
      <c r="I49" s="62"/>
      <c r="J49" s="64"/>
      <c r="K49" s="62"/>
      <c r="L49" s="62"/>
      <c r="M49" s="62"/>
      <c r="N49" s="62"/>
      <c r="O49" s="62"/>
      <c r="P49" s="62"/>
      <c r="Q49" s="62"/>
      <c r="R49" s="62"/>
      <c r="S49" s="62"/>
      <c r="T49" s="62"/>
      <c r="U49" s="62"/>
      <c r="V49" s="62"/>
      <c r="W49" s="62"/>
      <c r="X49" s="62"/>
      <c r="Y49" s="62"/>
      <c r="Z49" s="62"/>
      <c r="AA49" s="62"/>
      <c r="AB49" s="62"/>
      <c r="AC49" s="62"/>
      <c r="AD49" s="62"/>
      <c r="AE49" s="62"/>
      <c r="AF49" s="62"/>
      <c r="AG49" s="62"/>
      <c r="AH49" s="65"/>
    </row>
    <row r="50" spans="2:34" ht="13.5" customHeight="1" x14ac:dyDescent="0.35">
      <c r="B50" s="15"/>
      <c r="C50" s="61"/>
      <c r="D50" s="62"/>
      <c r="E50" s="62"/>
      <c r="F50" s="63"/>
      <c r="G50" s="62"/>
      <c r="H50" s="62"/>
      <c r="I50" s="62"/>
      <c r="J50" s="64"/>
      <c r="K50" s="62"/>
      <c r="L50" s="62"/>
      <c r="M50" s="62"/>
      <c r="N50" s="62"/>
      <c r="O50" s="62"/>
      <c r="P50" s="62"/>
      <c r="Q50" s="62"/>
      <c r="R50" s="62"/>
      <c r="S50" s="62"/>
      <c r="T50" s="62"/>
      <c r="U50" s="62"/>
      <c r="V50" s="62"/>
      <c r="W50" s="62"/>
      <c r="X50" s="62"/>
      <c r="Y50" s="62"/>
      <c r="Z50" s="62"/>
      <c r="AA50" s="62"/>
      <c r="AB50" s="62"/>
      <c r="AC50" s="62"/>
      <c r="AD50" s="62"/>
      <c r="AE50" s="62"/>
      <c r="AF50" s="62"/>
      <c r="AG50" s="62"/>
      <c r="AH50" s="65"/>
    </row>
    <row r="51" spans="2:34" ht="13.5" customHeight="1" x14ac:dyDescent="0.35">
      <c r="B51" s="15"/>
      <c r="C51" s="61"/>
      <c r="D51" s="62"/>
      <c r="E51" s="62"/>
      <c r="F51" s="63"/>
      <c r="G51" s="62"/>
      <c r="H51" s="62"/>
      <c r="I51" s="62"/>
      <c r="J51" s="64"/>
      <c r="K51" s="62"/>
      <c r="L51" s="62"/>
      <c r="M51" s="62"/>
      <c r="N51" s="62"/>
      <c r="O51" s="62"/>
      <c r="P51" s="62"/>
      <c r="Q51" s="62"/>
      <c r="R51" s="62"/>
      <c r="S51" s="62"/>
      <c r="T51" s="62"/>
      <c r="U51" s="62"/>
      <c r="V51" s="62"/>
      <c r="W51" s="62"/>
      <c r="X51" s="62"/>
      <c r="Y51" s="62"/>
      <c r="Z51" s="62"/>
      <c r="AA51" s="62"/>
      <c r="AB51" s="62"/>
      <c r="AC51" s="62"/>
      <c r="AD51" s="62"/>
      <c r="AE51" s="62"/>
      <c r="AF51" s="62"/>
      <c r="AG51" s="62"/>
      <c r="AH51" s="65"/>
    </row>
    <row r="52" spans="2:34" ht="13.5" customHeight="1" x14ac:dyDescent="0.35">
      <c r="B52" s="15"/>
      <c r="C52" s="61"/>
      <c r="D52" s="62"/>
      <c r="E52" s="62"/>
      <c r="F52" s="63"/>
      <c r="G52" s="62"/>
      <c r="H52" s="62"/>
      <c r="I52" s="62"/>
      <c r="J52" s="64"/>
      <c r="K52" s="62"/>
      <c r="L52" s="62"/>
      <c r="M52" s="62"/>
      <c r="N52" s="62"/>
      <c r="O52" s="62"/>
      <c r="P52" s="62"/>
      <c r="Q52" s="62"/>
      <c r="R52" s="62"/>
      <c r="S52" s="62"/>
      <c r="T52" s="62"/>
      <c r="U52" s="62"/>
      <c r="V52" s="62"/>
      <c r="W52" s="62"/>
      <c r="X52" s="62"/>
      <c r="Y52" s="62"/>
      <c r="Z52" s="62"/>
      <c r="AA52" s="62"/>
      <c r="AB52" s="62"/>
      <c r="AC52" s="62"/>
      <c r="AD52" s="62"/>
      <c r="AE52" s="62"/>
      <c r="AF52" s="62"/>
      <c r="AG52" s="62"/>
      <c r="AH52" s="65"/>
    </row>
    <row r="53" spans="2:34" ht="13.5" customHeight="1" x14ac:dyDescent="0.35">
      <c r="B53" s="15"/>
      <c r="C53" s="61"/>
      <c r="D53" s="62"/>
      <c r="E53" s="62"/>
      <c r="F53" s="63"/>
      <c r="G53" s="62"/>
      <c r="H53" s="62"/>
      <c r="I53" s="62"/>
      <c r="J53" s="64"/>
      <c r="K53" s="62"/>
      <c r="L53" s="62"/>
      <c r="M53" s="62"/>
      <c r="N53" s="62"/>
      <c r="O53" s="62"/>
      <c r="P53" s="62"/>
      <c r="Q53" s="62"/>
      <c r="R53" s="62"/>
      <c r="S53" s="62"/>
      <c r="T53" s="62"/>
      <c r="U53" s="62"/>
      <c r="V53" s="62"/>
      <c r="W53" s="62"/>
      <c r="X53" s="62"/>
      <c r="Y53" s="62"/>
      <c r="Z53" s="62"/>
      <c r="AA53" s="62"/>
      <c r="AB53" s="62"/>
      <c r="AC53" s="62"/>
      <c r="AD53" s="62"/>
      <c r="AE53" s="62"/>
      <c r="AF53" s="62"/>
      <c r="AG53" s="62"/>
      <c r="AH53" s="65"/>
    </row>
    <row r="54" spans="2:34" ht="13.5" customHeight="1" thickBot="1" x14ac:dyDescent="0.4">
      <c r="B54" s="15"/>
      <c r="C54" s="69"/>
      <c r="D54" s="70"/>
      <c r="E54" s="70"/>
      <c r="F54" s="71"/>
      <c r="G54" s="70"/>
      <c r="H54" s="70"/>
      <c r="I54" s="70"/>
      <c r="J54" s="72"/>
      <c r="K54" s="70"/>
      <c r="L54" s="70"/>
      <c r="M54" s="70"/>
      <c r="N54" s="70"/>
      <c r="O54" s="70"/>
      <c r="P54" s="70"/>
      <c r="Q54" s="70"/>
      <c r="R54" s="70"/>
      <c r="S54" s="70"/>
      <c r="T54" s="70"/>
      <c r="U54" s="70"/>
      <c r="V54" s="70"/>
      <c r="W54" s="70"/>
      <c r="X54" s="70"/>
      <c r="Y54" s="70"/>
      <c r="Z54" s="70"/>
      <c r="AA54" s="70"/>
      <c r="AB54" s="70"/>
      <c r="AC54" s="70"/>
      <c r="AD54" s="70"/>
      <c r="AE54" s="70"/>
      <c r="AF54" s="70"/>
      <c r="AG54" s="70"/>
      <c r="AH54" s="73"/>
    </row>
    <row r="55" spans="2:34" ht="13.5" customHeight="1" x14ac:dyDescent="0.3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row>
    <row r="56" spans="2:34" ht="13.5" customHeight="1" x14ac:dyDescent="0.3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row>
    <row r="57" spans="2:34" ht="13.5" customHeight="1" x14ac:dyDescent="0.3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row>
    <row r="58" spans="2:34" ht="13.5" customHeight="1" x14ac:dyDescent="0.3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row>
    <row r="59" spans="2:34" ht="13.5" customHeight="1" x14ac:dyDescent="0.3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row>
    <row r="60" spans="2:34" ht="13.5" customHeight="1" x14ac:dyDescent="0.3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row>
  </sheetData>
  <phoneticPr fontId="1"/>
  <pageMargins left="0.47244094488188981" right="0.47244094488188981" top="0.70866141732283472" bottom="0.59055118110236227" header="0.39370078740157483" footer="0.31496062992125984"/>
  <pageSetup paperSize="9" scale="91" orientation="portrait" r:id="rId1"/>
  <headerFooter alignWithMargins="0">
    <oddHeader>&amp;R&amp;D</oddHeader>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9B05C-7985-4E25-9921-C84B51379298}">
  <dimension ref="A2:G66"/>
  <sheetViews>
    <sheetView showGridLines="0" zoomScale="120" zoomScaleNormal="120" workbookViewId="0"/>
  </sheetViews>
  <sheetFormatPr defaultColWidth="9" defaultRowHeight="17.5" x14ac:dyDescent="0.55000000000000004"/>
  <cols>
    <col min="1" max="1" width="1.1640625" style="75" customWidth="1"/>
    <col min="2" max="2" width="4.58203125" style="75" customWidth="1"/>
    <col min="3" max="3" width="18.4140625" style="75" customWidth="1"/>
    <col min="4" max="5" width="33" style="76" customWidth="1"/>
    <col min="6" max="6" width="33" style="75" customWidth="1"/>
    <col min="7" max="7" width="33.9140625" style="75" customWidth="1"/>
    <col min="8" max="16384" width="9" style="75"/>
  </cols>
  <sheetData>
    <row r="2" spans="1:7" s="175" customFormat="1" x14ac:dyDescent="0.55000000000000004">
      <c r="A2" s="174" t="s">
        <v>415</v>
      </c>
      <c r="D2" s="176"/>
      <c r="E2" s="176"/>
    </row>
    <row r="3" spans="1:7" s="175" customFormat="1" x14ac:dyDescent="0.55000000000000004">
      <c r="D3" s="176"/>
      <c r="E3" s="176"/>
    </row>
    <row r="4" spans="1:7" s="175" customFormat="1" x14ac:dyDescent="0.55000000000000004">
      <c r="B4" s="174" t="s">
        <v>190</v>
      </c>
    </row>
    <row r="5" spans="1:7" s="175" customFormat="1" x14ac:dyDescent="0.55000000000000004">
      <c r="C5" s="175" t="s">
        <v>416</v>
      </c>
    </row>
    <row r="6" spans="1:7" s="175" customFormat="1" x14ac:dyDescent="0.55000000000000004">
      <c r="C6" s="175" t="s">
        <v>417</v>
      </c>
    </row>
    <row r="7" spans="1:7" s="175" customFormat="1" x14ac:dyDescent="0.55000000000000004">
      <c r="C7" s="175" t="s">
        <v>387</v>
      </c>
    </row>
    <row r="8" spans="1:7" s="175" customFormat="1" x14ac:dyDescent="0.55000000000000004"/>
    <row r="9" spans="1:7" s="176" customFormat="1" x14ac:dyDescent="0.55000000000000004">
      <c r="A9" s="175"/>
      <c r="B9" s="174" t="s">
        <v>191</v>
      </c>
      <c r="C9" s="175"/>
      <c r="F9" s="175"/>
      <c r="G9" s="175"/>
    </row>
    <row r="10" spans="1:7" s="176" customFormat="1" x14ac:dyDescent="0.55000000000000004">
      <c r="A10" s="175"/>
      <c r="B10" s="175"/>
      <c r="C10" s="175" t="s">
        <v>418</v>
      </c>
      <c r="F10" s="175"/>
      <c r="G10" s="175"/>
    </row>
    <row r="11" spans="1:7" s="176" customFormat="1" x14ac:dyDescent="0.55000000000000004">
      <c r="A11" s="175"/>
      <c r="B11" s="175"/>
      <c r="C11" s="175" t="s">
        <v>419</v>
      </c>
      <c r="F11" s="175"/>
      <c r="G11" s="175"/>
    </row>
    <row r="12" spans="1:7" s="176" customFormat="1" x14ac:dyDescent="0.55000000000000004">
      <c r="A12" s="175"/>
      <c r="B12" s="175"/>
      <c r="C12" s="175" t="s">
        <v>420</v>
      </c>
      <c r="F12" s="175"/>
      <c r="G12" s="175"/>
    </row>
    <row r="13" spans="1:7" s="175" customFormat="1" x14ac:dyDescent="0.55000000000000004">
      <c r="D13" s="176"/>
      <c r="E13" s="176"/>
    </row>
    <row r="14" spans="1:7" s="176" customFormat="1" x14ac:dyDescent="0.55000000000000004">
      <c r="A14" s="175"/>
      <c r="B14" s="175"/>
      <c r="C14" s="175" t="s">
        <v>388</v>
      </c>
      <c r="F14" s="175"/>
      <c r="G14" s="175"/>
    </row>
    <row r="15" spans="1:7" s="176" customFormat="1" x14ac:dyDescent="0.55000000000000004">
      <c r="A15" s="175"/>
      <c r="B15" s="175"/>
      <c r="C15" s="174" t="s">
        <v>389</v>
      </c>
      <c r="F15" s="175"/>
      <c r="G15" s="175"/>
    </row>
    <row r="16" spans="1:7" s="176" customFormat="1" x14ac:dyDescent="0.55000000000000004">
      <c r="A16" s="175"/>
      <c r="B16" s="175"/>
      <c r="C16" s="175" t="s">
        <v>390</v>
      </c>
      <c r="F16" s="175"/>
      <c r="G16" s="175"/>
    </row>
    <row r="17" spans="1:7" s="176" customFormat="1" x14ac:dyDescent="0.55000000000000004">
      <c r="A17" s="175"/>
      <c r="B17" s="175"/>
      <c r="C17" s="175"/>
      <c r="F17" s="175"/>
      <c r="G17" s="175"/>
    </row>
    <row r="18" spans="1:7" s="176" customFormat="1" x14ac:dyDescent="0.55000000000000004">
      <c r="A18" s="175"/>
      <c r="B18" s="175"/>
      <c r="C18" s="174" t="s">
        <v>391</v>
      </c>
      <c r="F18" s="175"/>
      <c r="G18" s="175"/>
    </row>
    <row r="19" spans="1:7" s="176" customFormat="1" x14ac:dyDescent="0.55000000000000004">
      <c r="A19" s="175"/>
      <c r="B19" s="175"/>
      <c r="C19" s="175" t="s">
        <v>421</v>
      </c>
      <c r="F19" s="175"/>
      <c r="G19" s="175"/>
    </row>
    <row r="20" spans="1:7" s="176" customFormat="1" x14ac:dyDescent="0.55000000000000004">
      <c r="A20" s="175"/>
      <c r="B20" s="175"/>
      <c r="C20" s="175"/>
      <c r="F20" s="175"/>
      <c r="G20" s="175"/>
    </row>
    <row r="21" spans="1:7" s="76" customFormat="1" x14ac:dyDescent="0.55000000000000004">
      <c r="A21" s="75"/>
      <c r="B21" s="75"/>
      <c r="C21" s="77" t="s">
        <v>392</v>
      </c>
      <c r="F21" s="75"/>
      <c r="G21" s="75"/>
    </row>
    <row r="22" spans="1:7" s="76" customFormat="1" x14ac:dyDescent="0.55000000000000004">
      <c r="A22" s="75"/>
      <c r="B22" s="75"/>
      <c r="C22" s="75" t="s">
        <v>192</v>
      </c>
      <c r="F22" s="75"/>
      <c r="G22" s="75"/>
    </row>
    <row r="23" spans="1:7" x14ac:dyDescent="0.55000000000000004">
      <c r="C23" s="75" t="s">
        <v>193</v>
      </c>
    </row>
    <row r="24" spans="1:7" s="175" customFormat="1" x14ac:dyDescent="0.55000000000000004">
      <c r="C24" s="175" t="s">
        <v>422</v>
      </c>
      <c r="D24" s="176"/>
      <c r="E24" s="176"/>
    </row>
    <row r="25" spans="1:7" s="175" customFormat="1" x14ac:dyDescent="0.55000000000000004">
      <c r="C25" s="175" t="s">
        <v>423</v>
      </c>
      <c r="D25" s="176"/>
      <c r="E25" s="176"/>
    </row>
    <row r="26" spans="1:7" s="175" customFormat="1" x14ac:dyDescent="0.55000000000000004">
      <c r="C26" s="175" t="s">
        <v>424</v>
      </c>
      <c r="D26" s="176"/>
      <c r="E26" s="176"/>
    </row>
    <row r="27" spans="1:7" s="175" customFormat="1" x14ac:dyDescent="0.55000000000000004">
      <c r="C27" s="175" t="s">
        <v>425</v>
      </c>
      <c r="D27" s="176"/>
      <c r="E27" s="176"/>
    </row>
    <row r="28" spans="1:7" s="175" customFormat="1" x14ac:dyDescent="0.55000000000000004">
      <c r="D28" s="176"/>
      <c r="E28" s="176"/>
    </row>
    <row r="29" spans="1:7" x14ac:dyDescent="0.55000000000000004">
      <c r="C29" s="77" t="s">
        <v>393</v>
      </c>
    </row>
    <row r="30" spans="1:7" s="175" customFormat="1" x14ac:dyDescent="0.55000000000000004">
      <c r="C30" s="175" t="s">
        <v>426</v>
      </c>
      <c r="D30" s="176"/>
      <c r="E30" s="176"/>
    </row>
    <row r="31" spans="1:7" s="175" customFormat="1" x14ac:dyDescent="0.55000000000000004">
      <c r="C31" s="175" t="s">
        <v>427</v>
      </c>
      <c r="D31" s="176"/>
      <c r="E31" s="176"/>
    </row>
    <row r="32" spans="1:7" s="175" customFormat="1" x14ac:dyDescent="0.55000000000000004">
      <c r="D32" s="176"/>
      <c r="E32" s="176"/>
    </row>
    <row r="33" spans="1:5" s="175" customFormat="1" x14ac:dyDescent="0.55000000000000004">
      <c r="D33" s="176"/>
      <c r="E33" s="176"/>
    </row>
    <row r="34" spans="1:5" s="175" customFormat="1" x14ac:dyDescent="0.55000000000000004">
      <c r="B34" s="174" t="s">
        <v>428</v>
      </c>
      <c r="C34" s="174"/>
      <c r="D34" s="176"/>
      <c r="E34" s="176"/>
    </row>
    <row r="35" spans="1:5" s="175" customFormat="1" x14ac:dyDescent="0.55000000000000004">
      <c r="C35" s="175" t="s">
        <v>394</v>
      </c>
      <c r="D35" s="176"/>
      <c r="E35" s="176"/>
    </row>
    <row r="36" spans="1:5" s="175" customFormat="1" x14ac:dyDescent="0.55000000000000004">
      <c r="C36" s="175" t="s">
        <v>395</v>
      </c>
      <c r="D36" s="176"/>
      <c r="E36" s="176"/>
    </row>
    <row r="37" spans="1:5" ht="18.649999999999999" customHeight="1" x14ac:dyDescent="0.55000000000000004"/>
    <row r="38" spans="1:5" x14ac:dyDescent="0.55000000000000004">
      <c r="D38" s="169" t="s">
        <v>194</v>
      </c>
      <c r="E38" s="170" t="s">
        <v>195</v>
      </c>
    </row>
    <row r="39" spans="1:5" ht="43.5" x14ac:dyDescent="0.55000000000000004">
      <c r="C39" s="171" t="s">
        <v>196</v>
      </c>
      <c r="D39" s="78" t="s">
        <v>197</v>
      </c>
      <c r="E39" s="79" t="s">
        <v>198</v>
      </c>
    </row>
    <row r="40" spans="1:5" x14ac:dyDescent="0.55000000000000004">
      <c r="C40" s="171" t="s">
        <v>199</v>
      </c>
      <c r="D40" s="80" t="s">
        <v>200</v>
      </c>
      <c r="E40" s="81" t="s">
        <v>396</v>
      </c>
    </row>
    <row r="41" spans="1:5" x14ac:dyDescent="0.55000000000000004">
      <c r="C41" s="171" t="s">
        <v>201</v>
      </c>
      <c r="D41" s="80" t="s">
        <v>200</v>
      </c>
      <c r="E41" s="81"/>
    </row>
    <row r="42" spans="1:5" x14ac:dyDescent="0.55000000000000004">
      <c r="C42" s="171" t="s">
        <v>202</v>
      </c>
      <c r="D42" s="80" t="s">
        <v>200</v>
      </c>
      <c r="E42" s="81" t="s">
        <v>397</v>
      </c>
    </row>
    <row r="43" spans="1:5" ht="43.5" x14ac:dyDescent="0.55000000000000004">
      <c r="C43" s="171" t="s">
        <v>203</v>
      </c>
      <c r="D43" s="82" t="s">
        <v>204</v>
      </c>
      <c r="E43" s="81" t="s">
        <v>205</v>
      </c>
    </row>
    <row r="44" spans="1:5" x14ac:dyDescent="0.55000000000000004">
      <c r="D44" s="83"/>
      <c r="E44" s="83"/>
    </row>
    <row r="46" spans="1:5" s="175" customFormat="1" x14ac:dyDescent="0.55000000000000004">
      <c r="A46" s="174" t="s">
        <v>429</v>
      </c>
      <c r="D46" s="176"/>
      <c r="E46" s="176"/>
    </row>
    <row r="47" spans="1:5" x14ac:dyDescent="0.55000000000000004">
      <c r="A47" s="74"/>
    </row>
    <row r="48" spans="1:5" ht="12" customHeight="1" x14ac:dyDescent="0.55000000000000004"/>
    <row r="49" spans="3:7" x14ac:dyDescent="0.55000000000000004">
      <c r="C49" s="84"/>
      <c r="D49" s="172" t="s">
        <v>397</v>
      </c>
      <c r="E49" s="173" t="s">
        <v>398</v>
      </c>
      <c r="F49" s="170" t="s">
        <v>399</v>
      </c>
      <c r="G49" s="85"/>
    </row>
    <row r="50" spans="3:7" s="175" customFormat="1" x14ac:dyDescent="0.55000000000000004">
      <c r="C50" s="177" t="s">
        <v>400</v>
      </c>
      <c r="D50" s="178" t="s">
        <v>209</v>
      </c>
      <c r="E50" s="179" t="s">
        <v>401</v>
      </c>
      <c r="F50" s="180" t="s">
        <v>402</v>
      </c>
      <c r="G50" s="181"/>
    </row>
    <row r="51" spans="3:7" s="175" customFormat="1" x14ac:dyDescent="0.55000000000000004">
      <c r="C51" s="182" t="s">
        <v>403</v>
      </c>
      <c r="D51" s="183" t="s">
        <v>208</v>
      </c>
      <c r="E51" s="184" t="s">
        <v>404</v>
      </c>
      <c r="F51" s="185" t="s">
        <v>402</v>
      </c>
    </row>
    <row r="52" spans="3:7" s="175" customFormat="1" x14ac:dyDescent="0.55000000000000004">
      <c r="C52" s="182" t="s">
        <v>405</v>
      </c>
      <c r="D52" s="183" t="s">
        <v>206</v>
      </c>
      <c r="E52" s="184" t="s">
        <v>207</v>
      </c>
      <c r="F52" s="185" t="s">
        <v>401</v>
      </c>
    </row>
    <row r="53" spans="3:7" s="175" customFormat="1" x14ac:dyDescent="0.55000000000000004">
      <c r="C53" s="182" t="s">
        <v>273</v>
      </c>
      <c r="D53" s="183" t="s">
        <v>208</v>
      </c>
      <c r="E53" s="184" t="s">
        <v>401</v>
      </c>
      <c r="F53" s="185" t="s">
        <v>402</v>
      </c>
    </row>
    <row r="54" spans="3:7" s="175" customFormat="1" x14ac:dyDescent="0.55000000000000004">
      <c r="C54" s="182" t="s">
        <v>406</v>
      </c>
      <c r="D54" s="183" t="s">
        <v>206</v>
      </c>
      <c r="E54" s="184" t="s">
        <v>207</v>
      </c>
      <c r="F54" s="185" t="s">
        <v>407</v>
      </c>
    </row>
    <row r="55" spans="3:7" s="175" customFormat="1" x14ac:dyDescent="0.55000000000000004">
      <c r="C55" s="182" t="s">
        <v>408</v>
      </c>
      <c r="D55" s="183" t="s">
        <v>206</v>
      </c>
      <c r="E55" s="184" t="s">
        <v>207</v>
      </c>
      <c r="F55" s="185" t="s">
        <v>401</v>
      </c>
    </row>
    <row r="56" spans="3:7" s="175" customFormat="1" x14ac:dyDescent="0.55000000000000004">
      <c r="C56" s="182" t="s">
        <v>409</v>
      </c>
      <c r="D56" s="183" t="s">
        <v>206</v>
      </c>
      <c r="E56" s="184" t="s">
        <v>207</v>
      </c>
      <c r="F56" s="185" t="s">
        <v>401</v>
      </c>
    </row>
    <row r="57" spans="3:7" s="175" customFormat="1" x14ac:dyDescent="0.55000000000000004">
      <c r="C57" s="182" t="s">
        <v>410</v>
      </c>
      <c r="D57" s="183" t="s">
        <v>209</v>
      </c>
      <c r="E57" s="184" t="s">
        <v>411</v>
      </c>
      <c r="F57" s="185" t="s">
        <v>402</v>
      </c>
    </row>
    <row r="58" spans="3:7" s="175" customFormat="1" x14ac:dyDescent="0.55000000000000004">
      <c r="C58" s="182" t="s">
        <v>31</v>
      </c>
      <c r="D58" s="183" t="s">
        <v>206</v>
      </c>
      <c r="E58" s="184" t="s">
        <v>207</v>
      </c>
      <c r="F58" s="185" t="s">
        <v>401</v>
      </c>
    </row>
    <row r="59" spans="3:7" s="175" customFormat="1" x14ac:dyDescent="0.55000000000000004">
      <c r="C59" s="182" t="s">
        <v>28</v>
      </c>
      <c r="D59" s="183" t="s">
        <v>206</v>
      </c>
      <c r="E59" s="184" t="s">
        <v>207</v>
      </c>
      <c r="F59" s="185" t="s">
        <v>401</v>
      </c>
    </row>
    <row r="60" spans="3:7" s="175" customFormat="1" x14ac:dyDescent="0.55000000000000004">
      <c r="C60" s="182" t="s">
        <v>412</v>
      </c>
      <c r="D60" s="183" t="s">
        <v>209</v>
      </c>
      <c r="E60" s="184" t="s">
        <v>401</v>
      </c>
      <c r="F60" s="185" t="s">
        <v>402</v>
      </c>
    </row>
    <row r="61" spans="3:7" s="175" customFormat="1" x14ac:dyDescent="0.55000000000000004">
      <c r="C61" s="182" t="s">
        <v>413</v>
      </c>
      <c r="D61" s="183" t="s">
        <v>209</v>
      </c>
      <c r="E61" s="184" t="s">
        <v>401</v>
      </c>
      <c r="F61" s="185" t="s">
        <v>402</v>
      </c>
    </row>
    <row r="62" spans="3:7" s="175" customFormat="1" x14ac:dyDescent="0.55000000000000004">
      <c r="C62" s="182" t="s">
        <v>14</v>
      </c>
      <c r="D62" s="183" t="s">
        <v>209</v>
      </c>
      <c r="E62" s="184" t="s">
        <v>401</v>
      </c>
      <c r="F62" s="185" t="s">
        <v>402</v>
      </c>
    </row>
    <row r="63" spans="3:7" s="175" customFormat="1" x14ac:dyDescent="0.55000000000000004">
      <c r="C63" s="186" t="s">
        <v>414</v>
      </c>
      <c r="D63" s="187" t="s">
        <v>207</v>
      </c>
      <c r="E63" s="188" t="s">
        <v>401</v>
      </c>
      <c r="F63" s="189" t="s">
        <v>402</v>
      </c>
    </row>
    <row r="66" spans="1:1" x14ac:dyDescent="0.55000000000000004">
      <c r="A66" s="75" t="s">
        <v>210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4F13C-02C6-4DEB-A649-D44F4B0BDB2F}">
  <sheetPr>
    <pageSetUpPr fitToPage="1"/>
  </sheetPr>
  <dimension ref="B2:O301"/>
  <sheetViews>
    <sheetView showGridLines="0" view="pageBreakPreview" zoomScale="70" zoomScaleNormal="85" zoomScaleSheetLayoutView="70" workbookViewId="0">
      <pane ySplit="5" topLeftCell="A6" activePane="bottomLeft" state="frozen"/>
      <selection pane="bottomLeft"/>
    </sheetView>
  </sheetViews>
  <sheetFormatPr defaultColWidth="9" defaultRowHeight="18" x14ac:dyDescent="0.55000000000000004"/>
  <cols>
    <col min="1" max="1" width="2.08203125" style="1" customWidth="1"/>
    <col min="2" max="2" width="6.5" style="2" customWidth="1"/>
    <col min="3" max="3" width="17.08203125" style="1" bestFit="1" customWidth="1"/>
    <col min="4" max="4" width="20.58203125" style="1" bestFit="1" customWidth="1"/>
    <col min="5" max="5" width="44.4140625" style="1" customWidth="1"/>
    <col min="6" max="6" width="92.08203125" style="9" bestFit="1" customWidth="1"/>
    <col min="7" max="9" width="12.83203125" style="2" customWidth="1"/>
    <col min="10" max="10" width="63" style="9" customWidth="1"/>
    <col min="11" max="13" width="12.83203125" style="2" customWidth="1"/>
    <col min="14" max="16384" width="9" style="1"/>
  </cols>
  <sheetData>
    <row r="2" spans="2:15" x14ac:dyDescent="0.55000000000000004">
      <c r="J2" s="1"/>
    </row>
    <row r="3" spans="2:15" ht="20" x14ac:dyDescent="0.55000000000000004">
      <c r="B3" s="6" t="s">
        <v>62</v>
      </c>
      <c r="C3" s="3" t="s">
        <v>61</v>
      </c>
      <c r="D3" s="8" t="s">
        <v>60</v>
      </c>
      <c r="E3" s="8" t="s">
        <v>59</v>
      </c>
      <c r="F3" s="10" t="s">
        <v>58</v>
      </c>
      <c r="G3" s="166" t="s">
        <v>57</v>
      </c>
      <c r="H3" s="167"/>
      <c r="I3" s="167"/>
      <c r="J3" s="168"/>
      <c r="K3" s="166" t="s">
        <v>56</v>
      </c>
      <c r="L3" s="167"/>
      <c r="M3" s="167"/>
    </row>
    <row r="4" spans="2:15" ht="20" customHeight="1" x14ac:dyDescent="0.55000000000000004">
      <c r="B4" s="6"/>
      <c r="C4" s="5"/>
      <c r="D4" s="4"/>
      <c r="E4" s="4"/>
      <c r="F4" s="11"/>
      <c r="G4" s="3" t="s">
        <v>55</v>
      </c>
      <c r="H4" s="3" t="s">
        <v>54</v>
      </c>
      <c r="I4" s="3" t="s">
        <v>53</v>
      </c>
      <c r="J4" s="7" t="s">
        <v>385</v>
      </c>
      <c r="K4" s="3" t="s">
        <v>55</v>
      </c>
      <c r="L4" s="3" t="s">
        <v>54</v>
      </c>
      <c r="M4" s="3" t="s">
        <v>53</v>
      </c>
    </row>
    <row r="5" spans="2:15" ht="40.5" customHeight="1" x14ac:dyDescent="0.55000000000000004">
      <c r="B5" s="6"/>
      <c r="C5" s="5"/>
      <c r="D5" s="4"/>
      <c r="E5" s="4"/>
      <c r="F5" s="11"/>
      <c r="G5" s="5"/>
      <c r="H5" s="5"/>
      <c r="I5" s="5"/>
      <c r="J5" s="163"/>
      <c r="K5" s="5"/>
      <c r="L5" s="5"/>
      <c r="M5" s="5"/>
    </row>
    <row r="6" spans="2:15" s="87" customFormat="1" ht="18" customHeight="1" x14ac:dyDescent="0.55000000000000004">
      <c r="B6" s="88">
        <v>1</v>
      </c>
      <c r="C6" s="90" t="s">
        <v>238</v>
      </c>
      <c r="D6" s="90" t="s">
        <v>239</v>
      </c>
      <c r="E6" s="91" t="s">
        <v>240</v>
      </c>
      <c r="F6" s="92" t="s">
        <v>241</v>
      </c>
      <c r="G6" s="93" t="s">
        <v>4</v>
      </c>
      <c r="H6" s="94"/>
      <c r="I6" s="88"/>
      <c r="J6" s="95"/>
      <c r="K6" s="93" t="s">
        <v>64</v>
      </c>
      <c r="L6" s="96"/>
      <c r="M6" s="88"/>
    </row>
    <row r="7" spans="2:15" s="87" customFormat="1" ht="18" customHeight="1" x14ac:dyDescent="0.55000000000000004">
      <c r="B7" s="88">
        <v>2</v>
      </c>
      <c r="C7" s="97" t="str">
        <f t="shared" ref="C7:E8" si="0">C6</f>
        <v>プロジェクト計画</v>
      </c>
      <c r="D7" s="97" t="str">
        <f t="shared" si="0"/>
        <v>フェーズ開始時</v>
      </c>
      <c r="E7" s="98" t="str">
        <f t="shared" si="0"/>
        <v>社内の合意形成</v>
      </c>
      <c r="F7" s="92" t="s">
        <v>242</v>
      </c>
      <c r="G7" s="93" t="s">
        <v>4</v>
      </c>
      <c r="H7" s="94"/>
      <c r="I7" s="88"/>
      <c r="J7" s="95"/>
      <c r="K7" s="93" t="s">
        <v>64</v>
      </c>
      <c r="L7" s="96"/>
      <c r="M7" s="88"/>
    </row>
    <row r="8" spans="2:15" s="87" customFormat="1" ht="18" customHeight="1" x14ac:dyDescent="0.55000000000000004">
      <c r="B8" s="88">
        <v>3</v>
      </c>
      <c r="C8" s="97" t="str">
        <f t="shared" si="0"/>
        <v>プロジェクト計画</v>
      </c>
      <c r="D8" s="97" t="str">
        <f t="shared" si="0"/>
        <v>フェーズ開始時</v>
      </c>
      <c r="E8" s="99" t="str">
        <f t="shared" si="0"/>
        <v>社内の合意形成</v>
      </c>
      <c r="F8" s="92" t="s">
        <v>243</v>
      </c>
      <c r="G8" s="93" t="s">
        <v>4</v>
      </c>
      <c r="H8" s="94"/>
      <c r="I8" s="88"/>
      <c r="J8" s="95"/>
      <c r="K8" s="93" t="s">
        <v>64</v>
      </c>
      <c r="L8" s="96"/>
      <c r="M8" s="88"/>
    </row>
    <row r="9" spans="2:15" s="100" customFormat="1" x14ac:dyDescent="0.55000000000000004">
      <c r="B9" s="88">
        <v>4</v>
      </c>
      <c r="C9" s="97" t="str">
        <f t="shared" ref="C9:D11" si="1">C8</f>
        <v>プロジェクト計画</v>
      </c>
      <c r="D9" s="97" t="str">
        <f t="shared" si="1"/>
        <v>フェーズ開始時</v>
      </c>
      <c r="E9" s="101" t="s">
        <v>244</v>
      </c>
      <c r="F9" s="95" t="s">
        <v>245</v>
      </c>
      <c r="G9" s="93" t="s">
        <v>4</v>
      </c>
      <c r="H9" s="94"/>
      <c r="I9" s="88"/>
      <c r="J9" s="95"/>
      <c r="K9" s="93" t="s">
        <v>64</v>
      </c>
      <c r="L9" s="96"/>
      <c r="M9" s="88"/>
    </row>
    <row r="10" spans="2:15" s="100" customFormat="1" x14ac:dyDescent="0.55000000000000004">
      <c r="B10" s="88">
        <v>5</v>
      </c>
      <c r="C10" s="97" t="str">
        <f t="shared" si="1"/>
        <v>プロジェクト計画</v>
      </c>
      <c r="D10" s="97" t="str">
        <f t="shared" si="1"/>
        <v>フェーズ開始時</v>
      </c>
      <c r="E10" s="101" t="s">
        <v>246</v>
      </c>
      <c r="F10" s="95" t="s">
        <v>247</v>
      </c>
      <c r="G10" s="93" t="s">
        <v>4</v>
      </c>
      <c r="H10" s="94"/>
      <c r="I10" s="88"/>
      <c r="J10" s="95"/>
      <c r="K10" s="93" t="s">
        <v>64</v>
      </c>
      <c r="L10" s="96"/>
      <c r="M10" s="88"/>
    </row>
    <row r="11" spans="2:15" s="100" customFormat="1" x14ac:dyDescent="0.55000000000000004">
      <c r="B11" s="88">
        <v>6</v>
      </c>
      <c r="C11" s="97" t="str">
        <f t="shared" si="1"/>
        <v>プロジェクト計画</v>
      </c>
      <c r="D11" s="99" t="str">
        <f t="shared" si="1"/>
        <v>フェーズ開始時</v>
      </c>
      <c r="E11" s="101" t="s">
        <v>248</v>
      </c>
      <c r="F11" s="95" t="s">
        <v>249</v>
      </c>
      <c r="G11" s="93" t="s">
        <v>4</v>
      </c>
      <c r="H11" s="94"/>
      <c r="I11" s="88"/>
      <c r="J11" s="95"/>
      <c r="K11" s="93" t="s">
        <v>64</v>
      </c>
      <c r="L11" s="96"/>
      <c r="M11" s="88"/>
    </row>
    <row r="12" spans="2:15" s="100" customFormat="1" ht="376" x14ac:dyDescent="0.55000000000000004">
      <c r="B12" s="88">
        <v>7</v>
      </c>
      <c r="C12" s="97" t="str">
        <f t="shared" ref="C12:C26" si="2">C11</f>
        <v>プロジェクト計画</v>
      </c>
      <c r="D12" s="102" t="s">
        <v>250</v>
      </c>
      <c r="E12" s="103" t="s">
        <v>52</v>
      </c>
      <c r="F12" s="95" t="s">
        <v>67</v>
      </c>
      <c r="G12" s="93" t="s">
        <v>4</v>
      </c>
      <c r="H12" s="94"/>
      <c r="I12" s="88"/>
      <c r="J12" s="95"/>
      <c r="K12" s="93" t="s">
        <v>64</v>
      </c>
      <c r="L12" s="96"/>
      <c r="M12" s="88"/>
    </row>
    <row r="13" spans="2:15" x14ac:dyDescent="0.55000000000000004">
      <c r="B13" s="88">
        <v>8</v>
      </c>
      <c r="C13" s="97" t="str">
        <f t="shared" si="2"/>
        <v>プロジェクト計画</v>
      </c>
      <c r="D13" s="104" t="str">
        <f t="shared" ref="D13:D26" si="3">D12</f>
        <v>フェーズ終了1週前</v>
      </c>
      <c r="E13" s="105" t="s">
        <v>46</v>
      </c>
      <c r="F13" s="106" t="s">
        <v>220</v>
      </c>
      <c r="G13" s="93" t="s">
        <v>4</v>
      </c>
      <c r="H13" s="107"/>
      <c r="I13" s="108"/>
      <c r="J13" s="102"/>
      <c r="K13" s="93" t="s">
        <v>64</v>
      </c>
      <c r="L13" s="108"/>
      <c r="M13" s="108"/>
      <c r="N13" s="100"/>
      <c r="O13" s="100"/>
    </row>
    <row r="14" spans="2:15" ht="109" x14ac:dyDescent="0.55000000000000004">
      <c r="B14" s="88">
        <v>9</v>
      </c>
      <c r="C14" s="97" t="str">
        <f t="shared" si="2"/>
        <v>プロジェクト計画</v>
      </c>
      <c r="D14" s="104" t="str">
        <f t="shared" si="3"/>
        <v>フェーズ終了1週前</v>
      </c>
      <c r="E14" s="103" t="s">
        <v>0</v>
      </c>
      <c r="F14" s="109" t="s">
        <v>121</v>
      </c>
      <c r="G14" s="93" t="s">
        <v>4</v>
      </c>
      <c r="H14" s="94"/>
      <c r="I14" s="88"/>
      <c r="J14" s="95"/>
      <c r="K14" s="93" t="s">
        <v>64</v>
      </c>
      <c r="L14" s="96"/>
      <c r="M14" s="88"/>
      <c r="N14" s="100"/>
      <c r="O14" s="100"/>
    </row>
    <row r="15" spans="2:15" x14ac:dyDescent="0.55000000000000004">
      <c r="B15" s="88">
        <v>10</v>
      </c>
      <c r="C15" s="97" t="str">
        <f t="shared" si="2"/>
        <v>プロジェクト計画</v>
      </c>
      <c r="D15" s="104" t="str">
        <f t="shared" si="3"/>
        <v>フェーズ終了1週前</v>
      </c>
      <c r="E15" s="110" t="s">
        <v>2</v>
      </c>
      <c r="F15" s="106" t="s">
        <v>50</v>
      </c>
      <c r="G15" s="111" t="s">
        <v>4</v>
      </c>
      <c r="H15" s="112"/>
      <c r="I15" s="113"/>
      <c r="J15" s="106"/>
      <c r="K15" s="111" t="s">
        <v>64</v>
      </c>
      <c r="L15" s="114"/>
      <c r="M15" s="113"/>
      <c r="N15" s="100"/>
      <c r="O15" s="100"/>
    </row>
    <row r="16" spans="2:15" x14ac:dyDescent="0.55000000000000004">
      <c r="B16" s="88">
        <v>11</v>
      </c>
      <c r="C16" s="97" t="str">
        <f t="shared" si="2"/>
        <v>プロジェクト計画</v>
      </c>
      <c r="D16" s="104" t="str">
        <f t="shared" si="3"/>
        <v>フェーズ終了1週前</v>
      </c>
      <c r="E16" s="115" t="str">
        <f>E15</f>
        <v>リスク管理表</v>
      </c>
      <c r="F16" s="116" t="s">
        <v>80</v>
      </c>
      <c r="G16" s="117" t="s">
        <v>4</v>
      </c>
      <c r="H16" s="118"/>
      <c r="I16" s="119"/>
      <c r="J16" s="106"/>
      <c r="K16" s="117" t="s">
        <v>64</v>
      </c>
      <c r="L16" s="120"/>
      <c r="M16" s="119"/>
      <c r="N16" s="100"/>
      <c r="O16" s="100"/>
    </row>
    <row r="17" spans="2:15" x14ac:dyDescent="0.55000000000000004">
      <c r="B17" s="88">
        <v>12</v>
      </c>
      <c r="C17" s="97" t="str">
        <f t="shared" si="2"/>
        <v>プロジェクト計画</v>
      </c>
      <c r="D17" s="104" t="str">
        <f t="shared" si="3"/>
        <v>フェーズ終了1週前</v>
      </c>
      <c r="E17" s="115" t="str">
        <f>E16</f>
        <v>リスク管理表</v>
      </c>
      <c r="F17" s="121" t="s">
        <v>51</v>
      </c>
      <c r="G17" s="122" t="s">
        <v>4</v>
      </c>
      <c r="H17" s="123"/>
      <c r="I17" s="124"/>
      <c r="J17" s="106"/>
      <c r="K17" s="122" t="s">
        <v>64</v>
      </c>
      <c r="L17" s="125"/>
      <c r="M17" s="124"/>
      <c r="N17" s="100"/>
      <c r="O17" s="100"/>
    </row>
    <row r="18" spans="2:15" x14ac:dyDescent="0.55000000000000004">
      <c r="B18" s="88">
        <v>13</v>
      </c>
      <c r="C18" s="97" t="str">
        <f t="shared" si="2"/>
        <v>プロジェクト計画</v>
      </c>
      <c r="D18" s="104" t="str">
        <f t="shared" si="3"/>
        <v>フェーズ終了1週前</v>
      </c>
      <c r="E18" s="126" t="s">
        <v>1</v>
      </c>
      <c r="F18" s="106" t="s">
        <v>50</v>
      </c>
      <c r="G18" s="111" t="s">
        <v>4</v>
      </c>
      <c r="H18" s="112"/>
      <c r="I18" s="113"/>
      <c r="J18" s="106"/>
      <c r="K18" s="111" t="s">
        <v>64</v>
      </c>
      <c r="L18" s="114"/>
      <c r="M18" s="113"/>
      <c r="N18" s="100"/>
      <c r="O18" s="100"/>
    </row>
    <row r="19" spans="2:15" x14ac:dyDescent="0.55000000000000004">
      <c r="B19" s="88">
        <v>14</v>
      </c>
      <c r="C19" s="97" t="str">
        <f t="shared" si="2"/>
        <v>プロジェクト計画</v>
      </c>
      <c r="D19" s="104" t="str">
        <f t="shared" si="3"/>
        <v>フェーズ終了1週前</v>
      </c>
      <c r="E19" s="127" t="str">
        <f>E18</f>
        <v>課題管理表</v>
      </c>
      <c r="F19" s="116" t="s">
        <v>80</v>
      </c>
      <c r="G19" s="117" t="s">
        <v>4</v>
      </c>
      <c r="H19" s="118"/>
      <c r="I19" s="119"/>
      <c r="J19" s="116"/>
      <c r="K19" s="117" t="s">
        <v>64</v>
      </c>
      <c r="L19" s="120"/>
      <c r="M19" s="119"/>
      <c r="N19" s="100"/>
      <c r="O19" s="100"/>
    </row>
    <row r="20" spans="2:15" x14ac:dyDescent="0.55000000000000004">
      <c r="B20" s="88">
        <v>15</v>
      </c>
      <c r="C20" s="97" t="str">
        <f t="shared" si="2"/>
        <v>プロジェクト計画</v>
      </c>
      <c r="D20" s="104" t="str">
        <f t="shared" si="3"/>
        <v>フェーズ終了1週前</v>
      </c>
      <c r="E20" s="127" t="str">
        <f>E19</f>
        <v>課題管理表</v>
      </c>
      <c r="F20" s="121" t="s">
        <v>51</v>
      </c>
      <c r="G20" s="122" t="s">
        <v>4</v>
      </c>
      <c r="H20" s="123"/>
      <c r="I20" s="124"/>
      <c r="J20" s="121"/>
      <c r="K20" s="122" t="s">
        <v>64</v>
      </c>
      <c r="L20" s="125"/>
      <c r="M20" s="124"/>
      <c r="N20" s="100"/>
      <c r="O20" s="100"/>
    </row>
    <row r="21" spans="2:15" x14ac:dyDescent="0.55000000000000004">
      <c r="B21" s="88">
        <v>16</v>
      </c>
      <c r="C21" s="97" t="str">
        <f t="shared" si="2"/>
        <v>プロジェクト計画</v>
      </c>
      <c r="D21" s="104" t="str">
        <f t="shared" si="3"/>
        <v>フェーズ終了1週前</v>
      </c>
      <c r="E21" s="103" t="s">
        <v>49</v>
      </c>
      <c r="F21" s="95" t="s">
        <v>47</v>
      </c>
      <c r="G21" s="93" t="s">
        <v>4</v>
      </c>
      <c r="H21" s="94"/>
      <c r="I21" s="88"/>
      <c r="J21" s="106"/>
      <c r="K21" s="93" t="s">
        <v>64</v>
      </c>
      <c r="L21" s="96"/>
      <c r="M21" s="88"/>
      <c r="N21" s="100"/>
      <c r="O21" s="100"/>
    </row>
    <row r="22" spans="2:15" x14ac:dyDescent="0.55000000000000004">
      <c r="B22" s="88">
        <v>17</v>
      </c>
      <c r="C22" s="97" t="str">
        <f t="shared" si="2"/>
        <v>プロジェクト計画</v>
      </c>
      <c r="D22" s="104" t="str">
        <f t="shared" si="3"/>
        <v>フェーズ終了1週前</v>
      </c>
      <c r="E22" s="103" t="s">
        <v>48</v>
      </c>
      <c r="F22" s="95" t="s">
        <v>63</v>
      </c>
      <c r="G22" s="93" t="s">
        <v>4</v>
      </c>
      <c r="H22" s="94"/>
      <c r="I22" s="88"/>
      <c r="J22" s="95"/>
      <c r="K22" s="93" t="s">
        <v>64</v>
      </c>
      <c r="L22" s="96"/>
      <c r="M22" s="88"/>
      <c r="N22" s="100"/>
      <c r="O22" s="100"/>
    </row>
    <row r="23" spans="2:15" x14ac:dyDescent="0.55000000000000004">
      <c r="B23" s="88">
        <v>18</v>
      </c>
      <c r="C23" s="97" t="str">
        <f t="shared" si="2"/>
        <v>プロジェクト計画</v>
      </c>
      <c r="D23" s="104" t="str">
        <f t="shared" si="3"/>
        <v>フェーズ終了1週前</v>
      </c>
      <c r="E23" s="126" t="s">
        <v>162</v>
      </c>
      <c r="F23" s="106" t="s">
        <v>163</v>
      </c>
      <c r="G23" s="111" t="s">
        <v>4</v>
      </c>
      <c r="H23" s="112"/>
      <c r="I23" s="113"/>
      <c r="J23" s="106"/>
      <c r="K23" s="111" t="s">
        <v>64</v>
      </c>
      <c r="L23" s="114"/>
      <c r="M23" s="113"/>
      <c r="N23" s="100"/>
      <c r="O23" s="100"/>
    </row>
    <row r="24" spans="2:15" x14ac:dyDescent="0.55000000000000004">
      <c r="B24" s="88">
        <v>19</v>
      </c>
      <c r="C24" s="97" t="str">
        <f t="shared" si="2"/>
        <v>プロジェクト計画</v>
      </c>
      <c r="D24" s="104" t="str">
        <f t="shared" si="3"/>
        <v>フェーズ終了1週前</v>
      </c>
      <c r="E24" s="128" t="str">
        <f>E23</f>
        <v>会議招集</v>
      </c>
      <c r="F24" s="121" t="s">
        <v>221</v>
      </c>
      <c r="G24" s="122" t="s">
        <v>4</v>
      </c>
      <c r="H24" s="123"/>
      <c r="I24" s="124"/>
      <c r="J24" s="121"/>
      <c r="K24" s="122" t="s">
        <v>64</v>
      </c>
      <c r="L24" s="125"/>
      <c r="M24" s="124"/>
      <c r="N24" s="100"/>
      <c r="O24" s="100"/>
    </row>
    <row r="25" spans="2:15" x14ac:dyDescent="0.55000000000000004">
      <c r="B25" s="88">
        <v>20</v>
      </c>
      <c r="C25" s="97" t="str">
        <f t="shared" si="2"/>
        <v>プロジェクト計画</v>
      </c>
      <c r="D25" s="104" t="str">
        <f t="shared" si="3"/>
        <v>フェーズ終了1週前</v>
      </c>
      <c r="E25" s="126" t="s">
        <v>167</v>
      </c>
      <c r="F25" s="95" t="s">
        <v>430</v>
      </c>
      <c r="G25" s="93" t="s">
        <v>4</v>
      </c>
      <c r="H25" s="94"/>
      <c r="I25" s="88"/>
      <c r="J25" s="95"/>
      <c r="K25" s="93" t="s">
        <v>64</v>
      </c>
      <c r="L25" s="88"/>
      <c r="M25" s="88"/>
      <c r="N25" s="100"/>
      <c r="O25" s="100"/>
    </row>
    <row r="26" spans="2:15" x14ac:dyDescent="0.55000000000000004">
      <c r="B26" s="88">
        <v>21</v>
      </c>
      <c r="C26" s="156" t="str">
        <f t="shared" si="2"/>
        <v>プロジェクト計画</v>
      </c>
      <c r="D26" s="129" t="str">
        <f t="shared" si="3"/>
        <v>フェーズ終了1週前</v>
      </c>
      <c r="E26" s="139" t="s">
        <v>431</v>
      </c>
      <c r="F26" s="140" t="s">
        <v>432</v>
      </c>
      <c r="G26" s="93" t="s">
        <v>4</v>
      </c>
      <c r="H26" s="190"/>
      <c r="I26" s="191"/>
      <c r="J26" s="140"/>
      <c r="K26" s="93" t="s">
        <v>64</v>
      </c>
      <c r="L26" s="191"/>
      <c r="M26" s="191"/>
    </row>
    <row r="27" spans="2:15" ht="387" x14ac:dyDescent="0.55000000000000004">
      <c r="B27" s="88">
        <v>22</v>
      </c>
      <c r="C27" s="130" t="s">
        <v>46</v>
      </c>
      <c r="D27" s="131" t="s">
        <v>251</v>
      </c>
      <c r="E27" s="91" t="s">
        <v>3</v>
      </c>
      <c r="F27" s="132" t="s">
        <v>229</v>
      </c>
      <c r="G27" s="111" t="s">
        <v>4</v>
      </c>
      <c r="H27" s="112"/>
      <c r="I27" s="113"/>
      <c r="J27" s="106"/>
      <c r="K27" s="111" t="s">
        <v>64</v>
      </c>
      <c r="L27" s="113"/>
      <c r="M27" s="113"/>
      <c r="N27" s="100"/>
      <c r="O27" s="100"/>
    </row>
    <row r="28" spans="2:15" x14ac:dyDescent="0.55000000000000004">
      <c r="B28" s="88">
        <v>23</v>
      </c>
      <c r="C28" s="98" t="str">
        <f t="shared" ref="C28:E29" si="4">C27</f>
        <v>リリース計画</v>
      </c>
      <c r="D28" s="133" t="str">
        <f t="shared" si="4"/>
        <v>フェーズ終了1週前</v>
      </c>
      <c r="E28" s="134" t="str">
        <f t="shared" si="4"/>
        <v>リリース計画書</v>
      </c>
      <c r="F28" s="106" t="s">
        <v>252</v>
      </c>
      <c r="G28" s="111" t="s">
        <v>4</v>
      </c>
      <c r="H28" s="112"/>
      <c r="I28" s="113"/>
      <c r="J28" s="106"/>
      <c r="K28" s="111" t="s">
        <v>64</v>
      </c>
      <c r="L28" s="113"/>
      <c r="M28" s="113"/>
      <c r="N28" s="100"/>
      <c r="O28" s="100"/>
    </row>
    <row r="29" spans="2:15" x14ac:dyDescent="0.55000000000000004">
      <c r="B29" s="88">
        <v>24</v>
      </c>
      <c r="C29" s="98" t="str">
        <f t="shared" si="4"/>
        <v>リリース計画</v>
      </c>
      <c r="D29" s="133" t="str">
        <f t="shared" si="4"/>
        <v>フェーズ終了1週前</v>
      </c>
      <c r="E29" s="135" t="str">
        <f t="shared" si="4"/>
        <v>リリース計画書</v>
      </c>
      <c r="F29" s="106" t="s">
        <v>253</v>
      </c>
      <c r="G29" s="111" t="s">
        <v>64</v>
      </c>
      <c r="H29" s="112"/>
      <c r="I29" s="113"/>
      <c r="J29" s="106"/>
      <c r="K29" s="111" t="s">
        <v>4</v>
      </c>
      <c r="L29" s="113"/>
      <c r="M29" s="113"/>
      <c r="N29" s="100"/>
      <c r="O29" s="100"/>
    </row>
    <row r="30" spans="2:15" x14ac:dyDescent="0.55000000000000004">
      <c r="B30" s="88">
        <v>25</v>
      </c>
      <c r="C30" s="98" t="str">
        <f t="shared" ref="C30:C40" si="5">C29</f>
        <v>リリース計画</v>
      </c>
      <c r="D30" s="133" t="str">
        <f t="shared" ref="D30:D40" si="6">D29</f>
        <v>フェーズ終了1週前</v>
      </c>
      <c r="E30" s="136" t="s">
        <v>254</v>
      </c>
      <c r="F30" s="137" t="s">
        <v>255</v>
      </c>
      <c r="G30" s="111" t="s">
        <v>64</v>
      </c>
      <c r="H30" s="112"/>
      <c r="I30" s="113"/>
      <c r="J30" s="106"/>
      <c r="K30" s="111" t="s">
        <v>4</v>
      </c>
      <c r="L30" s="113"/>
      <c r="M30" s="113"/>
      <c r="N30" s="100"/>
      <c r="O30" s="100"/>
    </row>
    <row r="31" spans="2:15" x14ac:dyDescent="0.55000000000000004">
      <c r="B31" s="88">
        <v>26</v>
      </c>
      <c r="C31" s="98" t="str">
        <f t="shared" si="5"/>
        <v>リリース計画</v>
      </c>
      <c r="D31" s="133" t="str">
        <f t="shared" si="6"/>
        <v>フェーズ終了1週前</v>
      </c>
      <c r="E31" s="130" t="s">
        <v>256</v>
      </c>
      <c r="F31" s="137" t="s">
        <v>257</v>
      </c>
      <c r="G31" s="111" t="s">
        <v>64</v>
      </c>
      <c r="H31" s="112"/>
      <c r="I31" s="113"/>
      <c r="J31" s="106"/>
      <c r="K31" s="111" t="s">
        <v>4</v>
      </c>
      <c r="L31" s="113"/>
      <c r="M31" s="113"/>
      <c r="N31" s="100"/>
      <c r="O31" s="100"/>
    </row>
    <row r="32" spans="2:15" x14ac:dyDescent="0.55000000000000004">
      <c r="B32" s="88">
        <v>27</v>
      </c>
      <c r="C32" s="98" t="str">
        <f t="shared" si="5"/>
        <v>リリース計画</v>
      </c>
      <c r="D32" s="133" t="str">
        <f t="shared" si="6"/>
        <v>フェーズ終了1週前</v>
      </c>
      <c r="E32" s="98" t="str">
        <f>E31</f>
        <v>設定</v>
      </c>
      <c r="F32" s="137" t="s">
        <v>258</v>
      </c>
      <c r="G32" s="111" t="s">
        <v>64</v>
      </c>
      <c r="H32" s="112"/>
      <c r="I32" s="113"/>
      <c r="J32" s="106"/>
      <c r="K32" s="111" t="s">
        <v>4</v>
      </c>
      <c r="L32" s="113"/>
      <c r="M32" s="113"/>
      <c r="N32" s="100"/>
      <c r="O32" s="100"/>
    </row>
    <row r="33" spans="2:15" x14ac:dyDescent="0.55000000000000004">
      <c r="B33" s="88">
        <v>28</v>
      </c>
      <c r="C33" s="98" t="str">
        <f t="shared" si="5"/>
        <v>リリース計画</v>
      </c>
      <c r="D33" s="133" t="str">
        <f t="shared" si="6"/>
        <v>フェーズ終了1週前</v>
      </c>
      <c r="E33" s="98" t="str">
        <f>E32</f>
        <v>設定</v>
      </c>
      <c r="F33" s="137" t="s">
        <v>259</v>
      </c>
      <c r="G33" s="111" t="s">
        <v>64</v>
      </c>
      <c r="H33" s="112"/>
      <c r="I33" s="113"/>
      <c r="J33" s="106"/>
      <c r="K33" s="111" t="s">
        <v>4</v>
      </c>
      <c r="L33" s="113"/>
      <c r="M33" s="113"/>
      <c r="N33" s="100"/>
      <c r="O33" s="100"/>
    </row>
    <row r="34" spans="2:15" x14ac:dyDescent="0.55000000000000004">
      <c r="B34" s="88">
        <v>29</v>
      </c>
      <c r="C34" s="98" t="str">
        <f t="shared" si="5"/>
        <v>リリース計画</v>
      </c>
      <c r="D34" s="133" t="str">
        <f t="shared" si="6"/>
        <v>フェーズ終了1週前</v>
      </c>
      <c r="E34" s="99" t="str">
        <f>E33</f>
        <v>設定</v>
      </c>
      <c r="F34" s="137" t="s">
        <v>260</v>
      </c>
      <c r="G34" s="111" t="s">
        <v>64</v>
      </c>
      <c r="H34" s="112"/>
      <c r="I34" s="113"/>
      <c r="J34" s="106"/>
      <c r="K34" s="111" t="s">
        <v>4</v>
      </c>
      <c r="L34" s="113"/>
      <c r="M34" s="113"/>
      <c r="N34" s="100"/>
      <c r="O34" s="100"/>
    </row>
    <row r="35" spans="2:15" ht="108" x14ac:dyDescent="0.55000000000000004">
      <c r="B35" s="88">
        <v>30</v>
      </c>
      <c r="C35" s="98" t="str">
        <f t="shared" si="5"/>
        <v>リリース計画</v>
      </c>
      <c r="D35" s="133" t="str">
        <f t="shared" si="6"/>
        <v>フェーズ終了1週前</v>
      </c>
      <c r="E35" s="130" t="s">
        <v>261</v>
      </c>
      <c r="F35" s="137" t="s">
        <v>262</v>
      </c>
      <c r="G35" s="111" t="s">
        <v>64</v>
      </c>
      <c r="H35" s="112"/>
      <c r="I35" s="113"/>
      <c r="J35" s="106"/>
      <c r="K35" s="111" t="s">
        <v>4</v>
      </c>
      <c r="L35" s="113"/>
      <c r="M35" s="113"/>
      <c r="N35" s="100"/>
      <c r="O35" s="100"/>
    </row>
    <row r="36" spans="2:15" ht="90" x14ac:dyDescent="0.55000000000000004">
      <c r="B36" s="88">
        <v>31</v>
      </c>
      <c r="C36" s="98" t="str">
        <f t="shared" si="5"/>
        <v>リリース計画</v>
      </c>
      <c r="D36" s="133" t="str">
        <f t="shared" si="6"/>
        <v>フェーズ終了1週前</v>
      </c>
      <c r="E36" s="98" t="str">
        <f>E35</f>
        <v>資材</v>
      </c>
      <c r="F36" s="137" t="s">
        <v>263</v>
      </c>
      <c r="G36" s="111" t="s">
        <v>64</v>
      </c>
      <c r="H36" s="112"/>
      <c r="I36" s="113"/>
      <c r="J36" s="106"/>
      <c r="K36" s="111" t="s">
        <v>4</v>
      </c>
      <c r="L36" s="113"/>
      <c r="M36" s="113"/>
      <c r="N36" s="100"/>
      <c r="O36" s="100"/>
    </row>
    <row r="37" spans="2:15" ht="72" x14ac:dyDescent="0.55000000000000004">
      <c r="B37" s="88">
        <v>32</v>
      </c>
      <c r="C37" s="98" t="str">
        <f t="shared" si="5"/>
        <v>リリース計画</v>
      </c>
      <c r="D37" s="133" t="str">
        <f t="shared" si="6"/>
        <v>フェーズ終了1週前</v>
      </c>
      <c r="E37" s="99" t="str">
        <f>E36</f>
        <v>資材</v>
      </c>
      <c r="F37" s="137" t="s">
        <v>264</v>
      </c>
      <c r="G37" s="111" t="s">
        <v>64</v>
      </c>
      <c r="H37" s="112"/>
      <c r="I37" s="113"/>
      <c r="J37" s="106"/>
      <c r="K37" s="111" t="s">
        <v>4</v>
      </c>
      <c r="L37" s="113"/>
      <c r="M37" s="113"/>
      <c r="N37" s="100"/>
      <c r="O37" s="100"/>
    </row>
    <row r="38" spans="2:15" x14ac:dyDescent="0.55000000000000004">
      <c r="B38" s="88">
        <v>33</v>
      </c>
      <c r="C38" s="98" t="str">
        <f t="shared" si="5"/>
        <v>リリース計画</v>
      </c>
      <c r="D38" s="133" t="str">
        <f t="shared" si="6"/>
        <v>フェーズ終了1週前</v>
      </c>
      <c r="E38" s="136" t="s">
        <v>265</v>
      </c>
      <c r="F38" s="137" t="s">
        <v>266</v>
      </c>
      <c r="G38" s="111" t="s">
        <v>64</v>
      </c>
      <c r="H38" s="112"/>
      <c r="I38" s="113"/>
      <c r="J38" s="106"/>
      <c r="K38" s="111" t="s">
        <v>4</v>
      </c>
      <c r="L38" s="113"/>
      <c r="M38" s="113"/>
      <c r="N38" s="100"/>
      <c r="O38" s="100"/>
    </row>
    <row r="39" spans="2:15" x14ac:dyDescent="0.55000000000000004">
      <c r="B39" s="88">
        <v>34</v>
      </c>
      <c r="C39" s="98" t="str">
        <f t="shared" si="5"/>
        <v>リリース計画</v>
      </c>
      <c r="D39" s="133" t="str">
        <f t="shared" si="6"/>
        <v>フェーズ終了1週前</v>
      </c>
      <c r="E39" s="136" t="s">
        <v>267</v>
      </c>
      <c r="F39" s="137" t="s">
        <v>268</v>
      </c>
      <c r="G39" s="111" t="s">
        <v>64</v>
      </c>
      <c r="H39" s="112"/>
      <c r="I39" s="113"/>
      <c r="J39" s="106"/>
      <c r="K39" s="111" t="s">
        <v>4</v>
      </c>
      <c r="L39" s="113"/>
      <c r="M39" s="113"/>
      <c r="N39" s="100"/>
      <c r="O39" s="100"/>
    </row>
    <row r="40" spans="2:15" x14ac:dyDescent="0.55000000000000004">
      <c r="B40" s="88">
        <v>35</v>
      </c>
      <c r="C40" s="99" t="str">
        <f t="shared" si="5"/>
        <v>リリース計画</v>
      </c>
      <c r="D40" s="138" t="str">
        <f t="shared" si="6"/>
        <v>フェーズ終了1週前</v>
      </c>
      <c r="E40" s="89" t="s">
        <v>269</v>
      </c>
      <c r="F40" s="95" t="s">
        <v>270</v>
      </c>
      <c r="G40" s="111" t="s">
        <v>64</v>
      </c>
      <c r="H40" s="112"/>
      <c r="I40" s="113"/>
      <c r="J40" s="106"/>
      <c r="K40" s="111" t="s">
        <v>4</v>
      </c>
      <c r="L40" s="113"/>
      <c r="M40" s="113"/>
      <c r="N40" s="100"/>
      <c r="O40" s="100"/>
    </row>
    <row r="41" spans="2:15" ht="205" x14ac:dyDescent="0.55000000000000004">
      <c r="B41" s="88">
        <v>36</v>
      </c>
      <c r="C41" s="139" t="s">
        <v>45</v>
      </c>
      <c r="D41" s="140" t="s">
        <v>271</v>
      </c>
      <c r="E41" s="140" t="s">
        <v>44</v>
      </c>
      <c r="F41" s="141" t="s">
        <v>230</v>
      </c>
      <c r="G41" s="111" t="s">
        <v>4</v>
      </c>
      <c r="H41" s="112"/>
      <c r="I41" s="113"/>
      <c r="J41" s="106"/>
      <c r="K41" s="111" t="s">
        <v>64</v>
      </c>
      <c r="L41" s="113"/>
      <c r="M41" s="113"/>
      <c r="N41" s="100"/>
      <c r="O41" s="100"/>
    </row>
    <row r="42" spans="2:15" ht="36" x14ac:dyDescent="0.55000000000000004">
      <c r="B42" s="88">
        <v>37</v>
      </c>
      <c r="C42" s="142" t="str">
        <f t="shared" ref="C42:E45" si="7">C41</f>
        <v>ITテスト計画</v>
      </c>
      <c r="D42" s="104" t="str">
        <f t="shared" si="7"/>
        <v>開発/UTフェーズ終了1週前</v>
      </c>
      <c r="E42" s="143" t="str">
        <f t="shared" si="7"/>
        <v>ITテスト計画書
・Ita、Itb（ST）</v>
      </c>
      <c r="F42" s="116" t="s">
        <v>73</v>
      </c>
      <c r="G42" s="117" t="s">
        <v>4</v>
      </c>
      <c r="H42" s="118"/>
      <c r="I42" s="119"/>
      <c r="J42" s="116"/>
      <c r="K42" s="117" t="s">
        <v>64</v>
      </c>
      <c r="L42" s="119"/>
      <c r="M42" s="119"/>
      <c r="N42" s="100"/>
      <c r="O42" s="100"/>
    </row>
    <row r="43" spans="2:15" ht="36" x14ac:dyDescent="0.55000000000000004">
      <c r="B43" s="88">
        <v>38</v>
      </c>
      <c r="C43" s="142" t="str">
        <f t="shared" si="7"/>
        <v>ITテスト計画</v>
      </c>
      <c r="D43" s="104" t="str">
        <f t="shared" si="7"/>
        <v>開発/UTフェーズ終了1週前</v>
      </c>
      <c r="E43" s="143" t="str">
        <f t="shared" si="7"/>
        <v>ITテスト計画書
・Ita、Itb（ST）</v>
      </c>
      <c r="F43" s="116" t="s">
        <v>272</v>
      </c>
      <c r="G43" s="117" t="s">
        <v>4</v>
      </c>
      <c r="H43" s="118"/>
      <c r="I43" s="119"/>
      <c r="J43" s="116"/>
      <c r="K43" s="117" t="s">
        <v>64</v>
      </c>
      <c r="L43" s="119"/>
      <c r="M43" s="119"/>
      <c r="N43" s="100"/>
      <c r="O43" s="100"/>
    </row>
    <row r="44" spans="2:15" ht="36" x14ac:dyDescent="0.55000000000000004">
      <c r="B44" s="88">
        <v>39</v>
      </c>
      <c r="C44" s="142" t="str">
        <f t="shared" si="7"/>
        <v>ITテスト計画</v>
      </c>
      <c r="D44" s="104" t="str">
        <f t="shared" si="7"/>
        <v>開発/UTフェーズ終了1週前</v>
      </c>
      <c r="E44" s="143" t="str">
        <f t="shared" si="7"/>
        <v>ITテスト計画書
・Ita、Itb（ST）</v>
      </c>
      <c r="F44" s="116" t="s">
        <v>68</v>
      </c>
      <c r="G44" s="117" t="s">
        <v>4</v>
      </c>
      <c r="H44" s="118"/>
      <c r="I44" s="119"/>
      <c r="J44" s="116"/>
      <c r="K44" s="117" t="s">
        <v>64</v>
      </c>
      <c r="L44" s="119"/>
      <c r="M44" s="119"/>
      <c r="N44" s="100"/>
      <c r="O44" s="100"/>
    </row>
    <row r="45" spans="2:15" ht="36" x14ac:dyDescent="0.55000000000000004">
      <c r="B45" s="88">
        <v>40</v>
      </c>
      <c r="C45" s="144" t="str">
        <f t="shared" si="7"/>
        <v>ITテスト計画</v>
      </c>
      <c r="D45" s="129" t="str">
        <f t="shared" si="7"/>
        <v>開発/UTフェーズ終了1週前</v>
      </c>
      <c r="E45" s="145" t="str">
        <f t="shared" si="7"/>
        <v>ITテスト計画書
・Ita、Itb（ST）</v>
      </c>
      <c r="F45" s="121" t="s">
        <v>69</v>
      </c>
      <c r="G45" s="122" t="s">
        <v>4</v>
      </c>
      <c r="H45" s="123"/>
      <c r="I45" s="124"/>
      <c r="J45" s="121"/>
      <c r="K45" s="122" t="s">
        <v>64</v>
      </c>
      <c r="L45" s="124"/>
      <c r="M45" s="124"/>
      <c r="N45" s="100"/>
      <c r="O45" s="100"/>
    </row>
    <row r="46" spans="2:15" ht="288" x14ac:dyDescent="0.55000000000000004">
      <c r="B46" s="88">
        <v>41</v>
      </c>
      <c r="C46" s="146" t="s">
        <v>273</v>
      </c>
      <c r="D46" s="102" t="s">
        <v>274</v>
      </c>
      <c r="E46" s="102" t="s">
        <v>43</v>
      </c>
      <c r="F46" s="147" t="s">
        <v>275</v>
      </c>
      <c r="G46" s="148" t="s">
        <v>4</v>
      </c>
      <c r="H46" s="149"/>
      <c r="I46" s="150"/>
      <c r="J46" s="147"/>
      <c r="K46" s="148" t="s">
        <v>64</v>
      </c>
      <c r="L46" s="150"/>
      <c r="M46" s="150"/>
      <c r="N46" s="100"/>
      <c r="O46" s="100"/>
    </row>
    <row r="47" spans="2:15" ht="36" x14ac:dyDescent="0.55000000000000004">
      <c r="B47" s="88">
        <v>42</v>
      </c>
      <c r="C47" s="142" t="str">
        <f t="shared" ref="C47:E49" si="8">C46</f>
        <v>受入テスト計画</v>
      </c>
      <c r="D47" s="142" t="str">
        <f t="shared" si="8"/>
        <v>フェーズ終了1週前</v>
      </c>
      <c r="E47" s="143" t="str">
        <f t="shared" si="8"/>
        <v>IT受入計画書</v>
      </c>
      <c r="F47" s="147" t="s">
        <v>122</v>
      </c>
      <c r="G47" s="148" t="s">
        <v>64</v>
      </c>
      <c r="H47" s="149"/>
      <c r="I47" s="150"/>
      <c r="J47" s="147"/>
      <c r="K47" s="148" t="s">
        <v>64</v>
      </c>
      <c r="L47" s="150"/>
      <c r="M47" s="150"/>
      <c r="N47" s="100"/>
      <c r="O47" s="100"/>
    </row>
    <row r="48" spans="2:15" x14ac:dyDescent="0.55000000000000004">
      <c r="B48" s="88">
        <v>43</v>
      </c>
      <c r="C48" s="142" t="str">
        <f t="shared" si="8"/>
        <v>受入テスト計画</v>
      </c>
      <c r="D48" s="142" t="str">
        <f t="shared" si="8"/>
        <v>フェーズ終了1週前</v>
      </c>
      <c r="E48" s="143" t="str">
        <f t="shared" si="8"/>
        <v>IT受入計画書</v>
      </c>
      <c r="F48" s="147" t="s">
        <v>123</v>
      </c>
      <c r="G48" s="148" t="s">
        <v>64</v>
      </c>
      <c r="H48" s="149"/>
      <c r="I48" s="150"/>
      <c r="J48" s="147"/>
      <c r="K48" s="148" t="s">
        <v>64</v>
      </c>
      <c r="L48" s="150"/>
      <c r="M48" s="150"/>
      <c r="N48" s="100"/>
      <c r="O48" s="100"/>
    </row>
    <row r="49" spans="2:15" ht="36" x14ac:dyDescent="0.55000000000000004">
      <c r="B49" s="88">
        <v>44</v>
      </c>
      <c r="C49" s="144" t="str">
        <f t="shared" si="8"/>
        <v>受入テスト計画</v>
      </c>
      <c r="D49" s="144" t="str">
        <f t="shared" si="8"/>
        <v>フェーズ終了1週前</v>
      </c>
      <c r="E49" s="143" t="str">
        <f t="shared" si="8"/>
        <v>IT受入計画書</v>
      </c>
      <c r="F49" s="147" t="s">
        <v>124</v>
      </c>
      <c r="G49" s="148" t="s">
        <v>64</v>
      </c>
      <c r="H49" s="149"/>
      <c r="I49" s="150"/>
      <c r="J49" s="147"/>
      <c r="K49" s="148" t="s">
        <v>64</v>
      </c>
      <c r="L49" s="150"/>
      <c r="M49" s="150"/>
      <c r="N49" s="100"/>
      <c r="O49" s="100"/>
    </row>
    <row r="50" spans="2:15" x14ac:dyDescent="0.55000000000000004">
      <c r="B50" s="88">
        <v>45</v>
      </c>
      <c r="C50" s="90" t="s">
        <v>42</v>
      </c>
      <c r="D50" s="151" t="s">
        <v>6</v>
      </c>
      <c r="E50" s="110" t="s">
        <v>23</v>
      </c>
      <c r="F50" s="106" t="s">
        <v>22</v>
      </c>
      <c r="G50" s="111" t="s">
        <v>4</v>
      </c>
      <c r="H50" s="112"/>
      <c r="I50" s="113"/>
      <c r="J50" s="106"/>
      <c r="K50" s="111" t="s">
        <v>64</v>
      </c>
      <c r="L50" s="113"/>
      <c r="M50" s="113"/>
      <c r="N50" s="100"/>
      <c r="O50" s="100"/>
    </row>
    <row r="51" spans="2:15" x14ac:dyDescent="0.55000000000000004">
      <c r="B51" s="88">
        <v>46</v>
      </c>
      <c r="C51" s="97" t="str">
        <f t="shared" ref="C51:E52" si="9">C50</f>
        <v>要件定義</v>
      </c>
      <c r="D51" s="98" t="str">
        <f t="shared" si="9"/>
        <v>フェーズ開始前</v>
      </c>
      <c r="E51" s="127" t="str">
        <f t="shared" si="9"/>
        <v>スケジュール</v>
      </c>
      <c r="F51" s="116" t="s">
        <v>125</v>
      </c>
      <c r="G51" s="117" t="s">
        <v>4</v>
      </c>
      <c r="H51" s="118"/>
      <c r="I51" s="119"/>
      <c r="J51" s="116"/>
      <c r="K51" s="117" t="s">
        <v>64</v>
      </c>
      <c r="L51" s="119"/>
      <c r="M51" s="119"/>
      <c r="N51" s="100"/>
      <c r="O51" s="100"/>
    </row>
    <row r="52" spans="2:15" x14ac:dyDescent="0.55000000000000004">
      <c r="B52" s="88">
        <v>47</v>
      </c>
      <c r="C52" s="97" t="str">
        <f t="shared" si="9"/>
        <v>要件定義</v>
      </c>
      <c r="D52" s="98" t="str">
        <f t="shared" si="9"/>
        <v>フェーズ開始前</v>
      </c>
      <c r="E52" s="152" t="str">
        <f t="shared" si="9"/>
        <v>スケジュール</v>
      </c>
      <c r="F52" s="121" t="s">
        <v>81</v>
      </c>
      <c r="G52" s="122" t="s">
        <v>4</v>
      </c>
      <c r="H52" s="123"/>
      <c r="I52" s="124"/>
      <c r="J52" s="121"/>
      <c r="K52" s="122" t="s">
        <v>64</v>
      </c>
      <c r="L52" s="124"/>
      <c r="M52" s="124"/>
      <c r="N52" s="100"/>
      <c r="O52" s="100"/>
    </row>
    <row r="53" spans="2:15" x14ac:dyDescent="0.55000000000000004">
      <c r="B53" s="88">
        <v>48</v>
      </c>
      <c r="C53" s="97" t="str">
        <f t="shared" ref="C53:D56" si="10">C52</f>
        <v>要件定義</v>
      </c>
      <c r="D53" s="98" t="str">
        <f t="shared" si="10"/>
        <v>フェーズ開始前</v>
      </c>
      <c r="E53" s="153" t="s">
        <v>20</v>
      </c>
      <c r="F53" s="106" t="s">
        <v>19</v>
      </c>
      <c r="G53" s="111" t="s">
        <v>4</v>
      </c>
      <c r="H53" s="112"/>
      <c r="I53" s="113"/>
      <c r="J53" s="106"/>
      <c r="K53" s="111" t="s">
        <v>64</v>
      </c>
      <c r="L53" s="113"/>
      <c r="M53" s="113"/>
      <c r="N53" s="100"/>
      <c r="O53" s="100"/>
    </row>
    <row r="54" spans="2:15" x14ac:dyDescent="0.55000000000000004">
      <c r="B54" s="88">
        <v>49</v>
      </c>
      <c r="C54" s="97" t="str">
        <f t="shared" si="10"/>
        <v>要件定義</v>
      </c>
      <c r="D54" s="98" t="str">
        <f t="shared" si="10"/>
        <v>フェーズ開始前</v>
      </c>
      <c r="E54" s="127" t="str">
        <f>E53</f>
        <v>セッション</v>
      </c>
      <c r="F54" s="116" t="s">
        <v>18</v>
      </c>
      <c r="G54" s="117" t="s">
        <v>4</v>
      </c>
      <c r="H54" s="118"/>
      <c r="I54" s="119"/>
      <c r="J54" s="116"/>
      <c r="K54" s="117" t="s">
        <v>64</v>
      </c>
      <c r="L54" s="119"/>
      <c r="M54" s="119"/>
      <c r="N54" s="100"/>
      <c r="O54" s="100"/>
    </row>
    <row r="55" spans="2:15" x14ac:dyDescent="0.55000000000000004">
      <c r="B55" s="88">
        <v>50</v>
      </c>
      <c r="C55" s="97" t="str">
        <f t="shared" si="10"/>
        <v>要件定義</v>
      </c>
      <c r="D55" s="98" t="str">
        <f t="shared" si="10"/>
        <v>フェーズ開始前</v>
      </c>
      <c r="E55" s="127" t="str">
        <f>E54</f>
        <v>セッション</v>
      </c>
      <c r="F55" s="116" t="s">
        <v>17</v>
      </c>
      <c r="G55" s="117" t="s">
        <v>4</v>
      </c>
      <c r="H55" s="118"/>
      <c r="I55" s="119"/>
      <c r="J55" s="116"/>
      <c r="K55" s="117" t="s">
        <v>64</v>
      </c>
      <c r="L55" s="119"/>
      <c r="M55" s="119"/>
      <c r="N55" s="100"/>
      <c r="O55" s="100"/>
    </row>
    <row r="56" spans="2:15" x14ac:dyDescent="0.55000000000000004">
      <c r="B56" s="88">
        <v>51</v>
      </c>
      <c r="C56" s="97" t="str">
        <f t="shared" si="10"/>
        <v>要件定義</v>
      </c>
      <c r="D56" s="99" t="str">
        <f t="shared" si="10"/>
        <v>フェーズ開始前</v>
      </c>
      <c r="E56" s="135" t="str">
        <f>E55</f>
        <v>セッション</v>
      </c>
      <c r="F56" s="121" t="s">
        <v>166</v>
      </c>
      <c r="G56" s="122" t="s">
        <v>4</v>
      </c>
      <c r="H56" s="123"/>
      <c r="I56" s="124"/>
      <c r="J56" s="121"/>
      <c r="K56" s="122" t="s">
        <v>64</v>
      </c>
      <c r="L56" s="124"/>
      <c r="M56" s="124"/>
      <c r="N56" s="100"/>
      <c r="O56" s="100"/>
    </row>
    <row r="57" spans="2:15" ht="222" customHeight="1" x14ac:dyDescent="0.55000000000000004">
      <c r="B57" s="88">
        <v>52</v>
      </c>
      <c r="C57" s="97" t="str">
        <f t="shared" ref="C57:C98" si="11">C56</f>
        <v>要件定義</v>
      </c>
      <c r="D57" s="154" t="s">
        <v>276</v>
      </c>
      <c r="E57" s="130" t="s">
        <v>277</v>
      </c>
      <c r="F57" s="155" t="s">
        <v>278</v>
      </c>
      <c r="G57" s="93" t="s">
        <v>4</v>
      </c>
      <c r="H57" s="94"/>
      <c r="I57" s="94"/>
      <c r="J57" s="94"/>
      <c r="K57" s="93" t="s">
        <v>4</v>
      </c>
      <c r="L57" s="94"/>
      <c r="M57" s="94"/>
      <c r="N57" s="100"/>
      <c r="O57" s="100"/>
    </row>
    <row r="58" spans="2:15" ht="151" customHeight="1" x14ac:dyDescent="0.55000000000000004">
      <c r="B58" s="88">
        <v>53</v>
      </c>
      <c r="C58" s="97" t="str">
        <f t="shared" si="11"/>
        <v>要件定義</v>
      </c>
      <c r="D58" s="97" t="str">
        <f t="shared" ref="D58:E63" si="12">D57</f>
        <v>フェーズ開始時</v>
      </c>
      <c r="E58" s="98" t="str">
        <f t="shared" si="12"/>
        <v>影響範囲（非機能要件）</v>
      </c>
      <c r="F58" s="155" t="s">
        <v>361</v>
      </c>
      <c r="G58" s="93" t="s">
        <v>4</v>
      </c>
      <c r="H58" s="94"/>
      <c r="I58" s="94"/>
      <c r="J58" s="94"/>
      <c r="K58" s="93" t="s">
        <v>4</v>
      </c>
      <c r="L58" s="94"/>
      <c r="M58" s="94"/>
      <c r="N58" s="100"/>
      <c r="O58" s="100"/>
    </row>
    <row r="59" spans="2:15" ht="135" customHeight="1" x14ac:dyDescent="0.55000000000000004">
      <c r="B59" s="88">
        <v>54</v>
      </c>
      <c r="C59" s="97" t="str">
        <f t="shared" si="11"/>
        <v>要件定義</v>
      </c>
      <c r="D59" s="97" t="str">
        <f t="shared" si="12"/>
        <v>フェーズ開始時</v>
      </c>
      <c r="E59" s="98" t="str">
        <f t="shared" si="12"/>
        <v>影響範囲（非機能要件）</v>
      </c>
      <c r="F59" s="155" t="s">
        <v>362</v>
      </c>
      <c r="G59" s="93" t="s">
        <v>4</v>
      </c>
      <c r="H59" s="94"/>
      <c r="I59" s="94"/>
      <c r="J59" s="94"/>
      <c r="K59" s="93" t="s">
        <v>4</v>
      </c>
      <c r="L59" s="94"/>
      <c r="M59" s="94"/>
      <c r="N59" s="100"/>
      <c r="O59" s="100"/>
    </row>
    <row r="60" spans="2:15" ht="118.5" customHeight="1" x14ac:dyDescent="0.55000000000000004">
      <c r="B60" s="88">
        <v>55</v>
      </c>
      <c r="C60" s="97" t="str">
        <f t="shared" si="11"/>
        <v>要件定義</v>
      </c>
      <c r="D60" s="97" t="str">
        <f t="shared" si="12"/>
        <v>フェーズ開始時</v>
      </c>
      <c r="E60" s="98" t="str">
        <f t="shared" si="12"/>
        <v>影響範囲（非機能要件）</v>
      </c>
      <c r="F60" s="155" t="s">
        <v>363</v>
      </c>
      <c r="G60" s="93" t="s">
        <v>4</v>
      </c>
      <c r="H60" s="94"/>
      <c r="I60" s="94"/>
      <c r="J60" s="94"/>
      <c r="K60" s="93" t="s">
        <v>4</v>
      </c>
      <c r="L60" s="94"/>
      <c r="M60" s="94"/>
      <c r="N60" s="100"/>
      <c r="O60" s="100"/>
    </row>
    <row r="61" spans="2:15" ht="227" customHeight="1" x14ac:dyDescent="0.55000000000000004">
      <c r="B61" s="88">
        <v>56</v>
      </c>
      <c r="C61" s="97" t="str">
        <f t="shared" si="11"/>
        <v>要件定義</v>
      </c>
      <c r="D61" s="97" t="str">
        <f t="shared" si="12"/>
        <v>フェーズ開始時</v>
      </c>
      <c r="E61" s="98" t="str">
        <f t="shared" si="12"/>
        <v>影響範囲（非機能要件）</v>
      </c>
      <c r="F61" s="155" t="s">
        <v>364</v>
      </c>
      <c r="G61" s="93" t="s">
        <v>4</v>
      </c>
      <c r="H61" s="94"/>
      <c r="I61" s="94"/>
      <c r="J61" s="94"/>
      <c r="K61" s="93" t="s">
        <v>4</v>
      </c>
      <c r="L61" s="94"/>
      <c r="M61" s="94"/>
      <c r="N61" s="100"/>
      <c r="O61" s="100"/>
    </row>
    <row r="62" spans="2:15" ht="120.5" customHeight="1" x14ac:dyDescent="0.55000000000000004">
      <c r="B62" s="88">
        <v>57</v>
      </c>
      <c r="C62" s="97" t="str">
        <f t="shared" si="11"/>
        <v>要件定義</v>
      </c>
      <c r="D62" s="97" t="str">
        <f t="shared" si="12"/>
        <v>フェーズ開始時</v>
      </c>
      <c r="E62" s="98" t="str">
        <f t="shared" si="12"/>
        <v>影響範囲（非機能要件）</v>
      </c>
      <c r="F62" s="155" t="s">
        <v>365</v>
      </c>
      <c r="G62" s="93" t="s">
        <v>4</v>
      </c>
      <c r="H62" s="94"/>
      <c r="I62" s="94"/>
      <c r="J62" s="94"/>
      <c r="K62" s="93" t="s">
        <v>4</v>
      </c>
      <c r="L62" s="94"/>
      <c r="M62" s="94"/>
      <c r="N62" s="100"/>
      <c r="O62" s="100"/>
    </row>
    <row r="63" spans="2:15" ht="135" customHeight="1" x14ac:dyDescent="0.55000000000000004">
      <c r="B63" s="88">
        <v>58</v>
      </c>
      <c r="C63" s="97" t="str">
        <f t="shared" si="11"/>
        <v>要件定義</v>
      </c>
      <c r="D63" s="156" t="str">
        <f t="shared" si="12"/>
        <v>フェーズ開始時</v>
      </c>
      <c r="E63" s="99" t="str">
        <f t="shared" si="12"/>
        <v>影響範囲（非機能要件）</v>
      </c>
      <c r="F63" s="155" t="s">
        <v>366</v>
      </c>
      <c r="G63" s="93" t="s">
        <v>4</v>
      </c>
      <c r="H63" s="94"/>
      <c r="I63" s="94"/>
      <c r="J63" s="94"/>
      <c r="K63" s="93" t="s">
        <v>4</v>
      </c>
      <c r="L63" s="94"/>
      <c r="M63" s="94"/>
      <c r="N63" s="100"/>
      <c r="O63" s="100"/>
    </row>
    <row r="64" spans="2:15" x14ac:dyDescent="0.55000000000000004">
      <c r="B64" s="88">
        <v>59</v>
      </c>
      <c r="C64" s="98" t="str">
        <f t="shared" si="11"/>
        <v>要件定義</v>
      </c>
      <c r="D64" s="87" t="s">
        <v>13</v>
      </c>
      <c r="E64" s="136" t="s">
        <v>27</v>
      </c>
      <c r="F64" s="95" t="s">
        <v>126</v>
      </c>
      <c r="G64" s="93" t="s">
        <v>4</v>
      </c>
      <c r="H64" s="94"/>
      <c r="I64" s="88"/>
      <c r="J64" s="95"/>
      <c r="K64" s="93" t="s">
        <v>64</v>
      </c>
      <c r="L64" s="88"/>
      <c r="M64" s="88"/>
      <c r="N64" s="100"/>
      <c r="O64" s="100"/>
    </row>
    <row r="65" spans="2:15" x14ac:dyDescent="0.55000000000000004">
      <c r="B65" s="88">
        <v>60</v>
      </c>
      <c r="C65" s="97" t="str">
        <f t="shared" si="11"/>
        <v>要件定義</v>
      </c>
      <c r="D65" s="98" t="str">
        <f t="shared" ref="D65:D98" si="13">D64</f>
        <v>フェーズ終了時</v>
      </c>
      <c r="E65" s="91" t="s">
        <v>82</v>
      </c>
      <c r="F65" s="106" t="s">
        <v>127</v>
      </c>
      <c r="G65" s="111" t="s">
        <v>4</v>
      </c>
      <c r="H65" s="112"/>
      <c r="I65" s="113"/>
      <c r="J65" s="106"/>
      <c r="K65" s="111" t="s">
        <v>64</v>
      </c>
      <c r="L65" s="113"/>
      <c r="M65" s="113"/>
      <c r="N65" s="100"/>
      <c r="O65" s="100"/>
    </row>
    <row r="66" spans="2:15" x14ac:dyDescent="0.55000000000000004">
      <c r="B66" s="88">
        <v>61</v>
      </c>
      <c r="C66" s="97" t="str">
        <f t="shared" si="11"/>
        <v>要件定義</v>
      </c>
      <c r="D66" s="98" t="str">
        <f t="shared" si="13"/>
        <v>フェーズ終了時</v>
      </c>
      <c r="E66" s="134" t="str">
        <f>E65</f>
        <v>業務</v>
      </c>
      <c r="F66" s="116" t="s">
        <v>128</v>
      </c>
      <c r="G66" s="117" t="s">
        <v>4</v>
      </c>
      <c r="H66" s="118"/>
      <c r="I66" s="119"/>
      <c r="J66" s="116"/>
      <c r="K66" s="117" t="s">
        <v>64</v>
      </c>
      <c r="L66" s="119"/>
      <c r="M66" s="119"/>
      <c r="N66" s="100"/>
      <c r="O66" s="100"/>
    </row>
    <row r="67" spans="2:15" x14ac:dyDescent="0.55000000000000004">
      <c r="B67" s="88">
        <v>62</v>
      </c>
      <c r="C67" s="97" t="str">
        <f t="shared" si="11"/>
        <v>要件定義</v>
      </c>
      <c r="D67" s="98" t="str">
        <f t="shared" si="13"/>
        <v>フェーズ終了時</v>
      </c>
      <c r="E67" s="134" t="str">
        <f>E66</f>
        <v>業務</v>
      </c>
      <c r="F67" s="116" t="s">
        <v>129</v>
      </c>
      <c r="G67" s="117" t="s">
        <v>4</v>
      </c>
      <c r="H67" s="118"/>
      <c r="I67" s="119"/>
      <c r="J67" s="116"/>
      <c r="K67" s="117" t="s">
        <v>64</v>
      </c>
      <c r="L67" s="119"/>
      <c r="M67" s="119"/>
      <c r="N67" s="100"/>
      <c r="O67" s="100"/>
    </row>
    <row r="68" spans="2:15" x14ac:dyDescent="0.55000000000000004">
      <c r="B68" s="88">
        <v>63</v>
      </c>
      <c r="C68" s="97" t="str">
        <f t="shared" si="11"/>
        <v>要件定義</v>
      </c>
      <c r="D68" s="98" t="str">
        <f t="shared" si="13"/>
        <v>フェーズ終了時</v>
      </c>
      <c r="E68" s="135" t="str">
        <f>E67</f>
        <v>業務</v>
      </c>
      <c r="F68" s="121" t="s">
        <v>130</v>
      </c>
      <c r="G68" s="122" t="s">
        <v>4</v>
      </c>
      <c r="H68" s="123"/>
      <c r="I68" s="124"/>
      <c r="J68" s="121"/>
      <c r="K68" s="122" t="s">
        <v>64</v>
      </c>
      <c r="L68" s="124"/>
      <c r="M68" s="124"/>
      <c r="N68" s="100"/>
      <c r="O68" s="100"/>
    </row>
    <row r="69" spans="2:15" ht="36" x14ac:dyDescent="0.55000000000000004">
      <c r="B69" s="88">
        <v>64</v>
      </c>
      <c r="C69" s="97" t="str">
        <f t="shared" si="11"/>
        <v>要件定義</v>
      </c>
      <c r="D69" s="98" t="str">
        <f t="shared" si="13"/>
        <v>フェーズ終了時</v>
      </c>
      <c r="E69" s="91" t="s">
        <v>84</v>
      </c>
      <c r="F69" s="106" t="s">
        <v>131</v>
      </c>
      <c r="G69" s="111" t="s">
        <v>4</v>
      </c>
      <c r="H69" s="112"/>
      <c r="I69" s="113"/>
      <c r="J69" s="106"/>
      <c r="K69" s="111" t="s">
        <v>64</v>
      </c>
      <c r="L69" s="113"/>
      <c r="M69" s="113"/>
      <c r="N69" s="100"/>
      <c r="O69" s="100"/>
    </row>
    <row r="70" spans="2:15" x14ac:dyDescent="0.55000000000000004">
      <c r="B70" s="88">
        <v>65</v>
      </c>
      <c r="C70" s="97" t="str">
        <f t="shared" si="11"/>
        <v>要件定義</v>
      </c>
      <c r="D70" s="98" t="str">
        <f t="shared" si="13"/>
        <v>フェーズ終了時</v>
      </c>
      <c r="E70" s="134" t="str">
        <f>E69</f>
        <v>システム</v>
      </c>
      <c r="F70" s="116" t="s">
        <v>132</v>
      </c>
      <c r="G70" s="117" t="s">
        <v>4</v>
      </c>
      <c r="H70" s="118"/>
      <c r="I70" s="119"/>
      <c r="J70" s="116"/>
      <c r="K70" s="117" t="s">
        <v>64</v>
      </c>
      <c r="L70" s="119"/>
      <c r="M70" s="119"/>
      <c r="N70" s="100"/>
      <c r="O70" s="100"/>
    </row>
    <row r="71" spans="2:15" ht="36" x14ac:dyDescent="0.55000000000000004">
      <c r="B71" s="88">
        <v>66</v>
      </c>
      <c r="C71" s="97" t="str">
        <f t="shared" si="11"/>
        <v>要件定義</v>
      </c>
      <c r="D71" s="98" t="str">
        <f t="shared" si="13"/>
        <v>フェーズ終了時</v>
      </c>
      <c r="E71" s="135" t="str">
        <f>E70</f>
        <v>システム</v>
      </c>
      <c r="F71" s="121" t="s">
        <v>133</v>
      </c>
      <c r="G71" s="122" t="s">
        <v>4</v>
      </c>
      <c r="H71" s="123"/>
      <c r="I71" s="124"/>
      <c r="J71" s="121"/>
      <c r="K71" s="122" t="s">
        <v>64</v>
      </c>
      <c r="L71" s="124"/>
      <c r="M71" s="124"/>
      <c r="N71" s="100"/>
      <c r="O71" s="100"/>
    </row>
    <row r="72" spans="2:15" x14ac:dyDescent="0.55000000000000004">
      <c r="B72" s="88">
        <v>67</v>
      </c>
      <c r="C72" s="97" t="str">
        <f t="shared" si="11"/>
        <v>要件定義</v>
      </c>
      <c r="D72" s="98" t="str">
        <f t="shared" si="13"/>
        <v>フェーズ終了時</v>
      </c>
      <c r="E72" s="91" t="s">
        <v>83</v>
      </c>
      <c r="F72" s="106" t="s">
        <v>134</v>
      </c>
      <c r="G72" s="111" t="s">
        <v>4</v>
      </c>
      <c r="H72" s="112"/>
      <c r="I72" s="113"/>
      <c r="J72" s="106"/>
      <c r="K72" s="111" t="s">
        <v>64</v>
      </c>
      <c r="L72" s="113"/>
      <c r="M72" s="113"/>
      <c r="N72" s="100"/>
      <c r="O72" s="100"/>
    </row>
    <row r="73" spans="2:15" x14ac:dyDescent="0.55000000000000004">
      <c r="B73" s="88">
        <v>68</v>
      </c>
      <c r="C73" s="97" t="str">
        <f t="shared" si="11"/>
        <v>要件定義</v>
      </c>
      <c r="D73" s="98" t="str">
        <f t="shared" si="13"/>
        <v>フェーズ終了時</v>
      </c>
      <c r="E73" s="134" t="str">
        <f>E72</f>
        <v>IF</v>
      </c>
      <c r="F73" s="116" t="s">
        <v>86</v>
      </c>
      <c r="G73" s="117" t="s">
        <v>4</v>
      </c>
      <c r="H73" s="118"/>
      <c r="I73" s="119"/>
      <c r="J73" s="116"/>
      <c r="K73" s="117" t="s">
        <v>64</v>
      </c>
      <c r="L73" s="119"/>
      <c r="M73" s="119"/>
      <c r="N73" s="100"/>
      <c r="O73" s="100"/>
    </row>
    <row r="74" spans="2:15" x14ac:dyDescent="0.55000000000000004">
      <c r="B74" s="88">
        <v>69</v>
      </c>
      <c r="C74" s="97" t="str">
        <f t="shared" si="11"/>
        <v>要件定義</v>
      </c>
      <c r="D74" s="98" t="str">
        <f t="shared" si="13"/>
        <v>フェーズ終了時</v>
      </c>
      <c r="E74" s="135" t="str">
        <f>E73</f>
        <v>IF</v>
      </c>
      <c r="F74" s="121" t="s">
        <v>85</v>
      </c>
      <c r="G74" s="122" t="s">
        <v>4</v>
      </c>
      <c r="H74" s="123"/>
      <c r="I74" s="124"/>
      <c r="J74" s="121"/>
      <c r="K74" s="122" t="s">
        <v>4</v>
      </c>
      <c r="L74" s="124"/>
      <c r="M74" s="124"/>
      <c r="N74" s="100"/>
      <c r="O74" s="100"/>
    </row>
    <row r="75" spans="2:15" x14ac:dyDescent="0.55000000000000004">
      <c r="B75" s="88">
        <v>70</v>
      </c>
      <c r="C75" s="97" t="str">
        <f t="shared" si="11"/>
        <v>要件定義</v>
      </c>
      <c r="D75" s="98" t="str">
        <f t="shared" si="13"/>
        <v>フェーズ終了時</v>
      </c>
      <c r="E75" s="136" t="s">
        <v>212</v>
      </c>
      <c r="F75" s="157" t="s">
        <v>215</v>
      </c>
      <c r="G75" s="93" t="s">
        <v>4</v>
      </c>
      <c r="H75" s="158"/>
      <c r="I75" s="159"/>
      <c r="J75" s="157"/>
      <c r="K75" s="160" t="s">
        <v>4</v>
      </c>
      <c r="L75" s="159"/>
      <c r="M75" s="159"/>
      <c r="N75" s="100"/>
      <c r="O75" s="100"/>
    </row>
    <row r="76" spans="2:15" x14ac:dyDescent="0.55000000000000004">
      <c r="B76" s="88">
        <v>71</v>
      </c>
      <c r="C76" s="97" t="str">
        <f t="shared" si="11"/>
        <v>要件定義</v>
      </c>
      <c r="D76" s="98" t="str">
        <f t="shared" si="13"/>
        <v>フェーズ終了時</v>
      </c>
      <c r="E76" s="89" t="s">
        <v>152</v>
      </c>
      <c r="F76" s="95" t="s">
        <v>216</v>
      </c>
      <c r="G76" s="93" t="s">
        <v>4</v>
      </c>
      <c r="H76" s="94"/>
      <c r="I76" s="88"/>
      <c r="J76" s="95"/>
      <c r="K76" s="93" t="s">
        <v>64</v>
      </c>
      <c r="L76" s="88"/>
      <c r="M76" s="88"/>
      <c r="N76" s="100"/>
      <c r="O76" s="100"/>
    </row>
    <row r="77" spans="2:15" x14ac:dyDescent="0.55000000000000004">
      <c r="B77" s="88">
        <v>72</v>
      </c>
      <c r="C77" s="97" t="str">
        <f t="shared" si="11"/>
        <v>要件定義</v>
      </c>
      <c r="D77" s="98" t="str">
        <f t="shared" si="13"/>
        <v>フェーズ終了時</v>
      </c>
      <c r="E77" s="136" t="s">
        <v>213</v>
      </c>
      <c r="F77" s="157" t="s">
        <v>211</v>
      </c>
      <c r="G77" s="122" t="s">
        <v>4</v>
      </c>
      <c r="H77" s="158"/>
      <c r="I77" s="159"/>
      <c r="J77" s="157"/>
      <c r="K77" s="122" t="s">
        <v>64</v>
      </c>
      <c r="L77" s="159"/>
      <c r="M77" s="159"/>
      <c r="N77" s="100"/>
      <c r="O77" s="100"/>
    </row>
    <row r="78" spans="2:15" x14ac:dyDescent="0.55000000000000004">
      <c r="B78" s="88">
        <v>73</v>
      </c>
      <c r="C78" s="97" t="str">
        <f t="shared" si="11"/>
        <v>要件定義</v>
      </c>
      <c r="D78" s="98" t="str">
        <f t="shared" si="13"/>
        <v>フェーズ終了時</v>
      </c>
      <c r="E78" s="89" t="s">
        <v>88</v>
      </c>
      <c r="F78" s="95" t="s">
        <v>87</v>
      </c>
      <c r="G78" s="93" t="s">
        <v>4</v>
      </c>
      <c r="H78" s="94"/>
      <c r="I78" s="88"/>
      <c r="J78" s="95"/>
      <c r="K78" s="122" t="s">
        <v>64</v>
      </c>
      <c r="L78" s="88"/>
      <c r="M78" s="88"/>
      <c r="N78" s="100"/>
      <c r="O78" s="100"/>
    </row>
    <row r="79" spans="2:15" ht="36" x14ac:dyDescent="0.55000000000000004">
      <c r="B79" s="88">
        <v>74</v>
      </c>
      <c r="C79" s="97" t="str">
        <f t="shared" si="11"/>
        <v>要件定義</v>
      </c>
      <c r="D79" s="98" t="str">
        <f t="shared" si="13"/>
        <v>フェーズ終了時</v>
      </c>
      <c r="E79" s="89" t="s">
        <v>232</v>
      </c>
      <c r="F79" s="95" t="s">
        <v>233</v>
      </c>
      <c r="G79" s="93" t="s">
        <v>4</v>
      </c>
      <c r="H79" s="94"/>
      <c r="I79" s="88"/>
      <c r="J79" s="95"/>
      <c r="K79" s="122" t="s">
        <v>64</v>
      </c>
      <c r="L79" s="88"/>
      <c r="M79" s="88"/>
      <c r="N79" s="100"/>
      <c r="O79" s="100"/>
    </row>
    <row r="80" spans="2:15" ht="72" x14ac:dyDescent="0.55000000000000004">
      <c r="B80" s="88">
        <v>75</v>
      </c>
      <c r="C80" s="97" t="str">
        <f t="shared" si="11"/>
        <v>要件定義</v>
      </c>
      <c r="D80" s="98" t="str">
        <f t="shared" si="13"/>
        <v>フェーズ終了時</v>
      </c>
      <c r="E80" s="91" t="s">
        <v>279</v>
      </c>
      <c r="F80" s="95" t="s">
        <v>280</v>
      </c>
      <c r="G80" s="93" t="s">
        <v>4</v>
      </c>
      <c r="H80" s="94"/>
      <c r="I80" s="88"/>
      <c r="J80" s="95"/>
      <c r="K80" s="122" t="s">
        <v>64</v>
      </c>
      <c r="L80" s="88"/>
      <c r="M80" s="88"/>
      <c r="N80" s="100"/>
      <c r="O80" s="100"/>
    </row>
    <row r="81" spans="2:15" x14ac:dyDescent="0.55000000000000004">
      <c r="B81" s="88">
        <v>76</v>
      </c>
      <c r="C81" s="97" t="str">
        <f t="shared" si="11"/>
        <v>要件定義</v>
      </c>
      <c r="D81" s="98" t="str">
        <f t="shared" si="13"/>
        <v>フェーズ終了時</v>
      </c>
      <c r="E81" s="91" t="s">
        <v>281</v>
      </c>
      <c r="F81" s="95" t="s">
        <v>282</v>
      </c>
      <c r="G81" s="93" t="s">
        <v>4</v>
      </c>
      <c r="H81" s="94"/>
      <c r="I81" s="88"/>
      <c r="J81" s="95"/>
      <c r="K81" s="122" t="s">
        <v>64</v>
      </c>
      <c r="L81" s="88"/>
      <c r="M81" s="88"/>
      <c r="N81" s="100"/>
      <c r="O81" s="100"/>
    </row>
    <row r="82" spans="2:15" x14ac:dyDescent="0.55000000000000004">
      <c r="B82" s="88">
        <v>77</v>
      </c>
      <c r="C82" s="97" t="str">
        <f t="shared" si="11"/>
        <v>要件定義</v>
      </c>
      <c r="D82" s="98" t="str">
        <f t="shared" si="13"/>
        <v>フェーズ終了時</v>
      </c>
      <c r="E82" s="135" t="str">
        <f>E81</f>
        <v>アラート検知</v>
      </c>
      <c r="F82" s="95" t="s">
        <v>283</v>
      </c>
      <c r="G82" s="93" t="s">
        <v>4</v>
      </c>
      <c r="H82" s="94"/>
      <c r="I82" s="88"/>
      <c r="J82" s="95"/>
      <c r="K82" s="122" t="s">
        <v>64</v>
      </c>
      <c r="L82" s="88"/>
      <c r="M82" s="88"/>
      <c r="N82" s="100"/>
      <c r="O82" s="100"/>
    </row>
    <row r="83" spans="2:15" x14ac:dyDescent="0.55000000000000004">
      <c r="B83" s="88">
        <v>78</v>
      </c>
      <c r="C83" s="97" t="str">
        <f t="shared" si="11"/>
        <v>要件定義</v>
      </c>
      <c r="D83" s="98" t="str">
        <f t="shared" si="13"/>
        <v>フェーズ終了時</v>
      </c>
      <c r="E83" s="91" t="s">
        <v>284</v>
      </c>
      <c r="F83" s="95" t="s">
        <v>285</v>
      </c>
      <c r="G83" s="93" t="s">
        <v>4</v>
      </c>
      <c r="H83" s="94"/>
      <c r="I83" s="88"/>
      <c r="J83" s="95"/>
      <c r="K83" s="122" t="s">
        <v>64</v>
      </c>
      <c r="L83" s="88"/>
      <c r="M83" s="88"/>
      <c r="N83" s="100"/>
      <c r="O83" s="100"/>
    </row>
    <row r="84" spans="2:15" x14ac:dyDescent="0.55000000000000004">
      <c r="B84" s="88">
        <v>79</v>
      </c>
      <c r="C84" s="97" t="str">
        <f t="shared" si="11"/>
        <v>要件定義</v>
      </c>
      <c r="D84" s="98" t="str">
        <f t="shared" si="13"/>
        <v>フェーズ終了時</v>
      </c>
      <c r="E84" s="135" t="str">
        <f>E83</f>
        <v>障害ケースの洗い出し</v>
      </c>
      <c r="F84" s="95" t="s">
        <v>286</v>
      </c>
      <c r="G84" s="93" t="s">
        <v>4</v>
      </c>
      <c r="H84" s="94"/>
      <c r="I84" s="88"/>
      <c r="J84" s="95"/>
      <c r="K84" s="122" t="s">
        <v>64</v>
      </c>
      <c r="L84" s="88"/>
      <c r="M84" s="88"/>
      <c r="N84" s="100"/>
      <c r="O84" s="100"/>
    </row>
    <row r="85" spans="2:15" x14ac:dyDescent="0.55000000000000004">
      <c r="B85" s="88">
        <v>80</v>
      </c>
      <c r="C85" s="97" t="str">
        <f t="shared" si="11"/>
        <v>要件定義</v>
      </c>
      <c r="D85" s="98" t="str">
        <f t="shared" si="13"/>
        <v>フェーズ終了時</v>
      </c>
      <c r="E85" s="89" t="s">
        <v>287</v>
      </c>
      <c r="F85" s="95" t="s">
        <v>288</v>
      </c>
      <c r="G85" s="93" t="s">
        <v>4</v>
      </c>
      <c r="H85" s="94"/>
      <c r="I85" s="88"/>
      <c r="J85" s="95"/>
      <c r="K85" s="122" t="s">
        <v>64</v>
      </c>
      <c r="L85" s="88"/>
      <c r="M85" s="88"/>
      <c r="N85" s="100"/>
      <c r="O85" s="100"/>
    </row>
    <row r="86" spans="2:15" x14ac:dyDescent="0.55000000000000004">
      <c r="B86" s="88">
        <v>81</v>
      </c>
      <c r="C86" s="97" t="str">
        <f t="shared" si="11"/>
        <v>要件定義</v>
      </c>
      <c r="D86" s="98" t="str">
        <f t="shared" si="13"/>
        <v>フェーズ終了時</v>
      </c>
      <c r="E86" s="89" t="s">
        <v>289</v>
      </c>
      <c r="F86" s="95" t="s">
        <v>290</v>
      </c>
      <c r="G86" s="93" t="s">
        <v>4</v>
      </c>
      <c r="H86" s="94"/>
      <c r="I86" s="88"/>
      <c r="J86" s="95"/>
      <c r="K86" s="122" t="s">
        <v>64</v>
      </c>
      <c r="L86" s="88"/>
      <c r="M86" s="88"/>
      <c r="N86" s="100"/>
      <c r="O86" s="100"/>
    </row>
    <row r="87" spans="2:15" ht="126" x14ac:dyDescent="0.55000000000000004">
      <c r="B87" s="88">
        <v>82</v>
      </c>
      <c r="C87" s="97" t="str">
        <f t="shared" si="11"/>
        <v>要件定義</v>
      </c>
      <c r="D87" s="98" t="str">
        <f t="shared" si="13"/>
        <v>フェーズ終了時</v>
      </c>
      <c r="E87" s="91" t="s">
        <v>291</v>
      </c>
      <c r="F87" s="95" t="s">
        <v>292</v>
      </c>
      <c r="G87" s="93" t="s">
        <v>4</v>
      </c>
      <c r="H87" s="94"/>
      <c r="I87" s="88"/>
      <c r="J87" s="95"/>
      <c r="K87" s="122" t="s">
        <v>64</v>
      </c>
      <c r="L87" s="88"/>
      <c r="M87" s="88"/>
      <c r="N87" s="100"/>
      <c r="O87" s="100"/>
    </row>
    <row r="88" spans="2:15" x14ac:dyDescent="0.55000000000000004">
      <c r="B88" s="88">
        <v>83</v>
      </c>
      <c r="C88" s="97" t="str">
        <f t="shared" si="11"/>
        <v>要件定義</v>
      </c>
      <c r="D88" s="98" t="str">
        <f t="shared" si="13"/>
        <v>フェーズ終了時</v>
      </c>
      <c r="E88" s="134" t="str">
        <f>E87</f>
        <v>ログ</v>
      </c>
      <c r="F88" s="95" t="s">
        <v>293</v>
      </c>
      <c r="G88" s="93" t="s">
        <v>4</v>
      </c>
      <c r="H88" s="94"/>
      <c r="I88" s="88"/>
      <c r="J88" s="95"/>
      <c r="K88" s="122" t="s">
        <v>64</v>
      </c>
      <c r="L88" s="88"/>
      <c r="M88" s="88"/>
      <c r="N88" s="100"/>
      <c r="O88" s="100"/>
    </row>
    <row r="89" spans="2:15" x14ac:dyDescent="0.55000000000000004">
      <c r="B89" s="88">
        <v>84</v>
      </c>
      <c r="C89" s="97" t="str">
        <f t="shared" si="11"/>
        <v>要件定義</v>
      </c>
      <c r="D89" s="98" t="str">
        <f t="shared" si="13"/>
        <v>フェーズ終了時</v>
      </c>
      <c r="E89" s="134" t="str">
        <f>E88</f>
        <v>ログ</v>
      </c>
      <c r="F89" s="95" t="s">
        <v>294</v>
      </c>
      <c r="G89" s="93" t="s">
        <v>4</v>
      </c>
      <c r="H89" s="94"/>
      <c r="I89" s="88"/>
      <c r="J89" s="95"/>
      <c r="K89" s="122" t="s">
        <v>64</v>
      </c>
      <c r="L89" s="88"/>
      <c r="M89" s="88"/>
      <c r="N89" s="100"/>
      <c r="O89" s="100"/>
    </row>
    <row r="90" spans="2:15" x14ac:dyDescent="0.55000000000000004">
      <c r="B90" s="88">
        <v>85</v>
      </c>
      <c r="C90" s="97" t="str">
        <f t="shared" si="11"/>
        <v>要件定義</v>
      </c>
      <c r="D90" s="98" t="str">
        <f t="shared" si="13"/>
        <v>フェーズ終了時</v>
      </c>
      <c r="E90" s="134" t="str">
        <f>E89</f>
        <v>ログ</v>
      </c>
      <c r="F90" s="95" t="s">
        <v>295</v>
      </c>
      <c r="G90" s="93" t="s">
        <v>4</v>
      </c>
      <c r="H90" s="94"/>
      <c r="I90" s="88"/>
      <c r="J90" s="95"/>
      <c r="K90" s="122" t="s">
        <v>64</v>
      </c>
      <c r="L90" s="88"/>
      <c r="M90" s="88"/>
      <c r="N90" s="100"/>
      <c r="O90" s="100"/>
    </row>
    <row r="91" spans="2:15" x14ac:dyDescent="0.55000000000000004">
      <c r="B91" s="88">
        <v>86</v>
      </c>
      <c r="C91" s="97" t="str">
        <f t="shared" si="11"/>
        <v>要件定義</v>
      </c>
      <c r="D91" s="98" t="str">
        <f t="shared" si="13"/>
        <v>フェーズ終了時</v>
      </c>
      <c r="E91" s="134" t="str">
        <f>E90</f>
        <v>ログ</v>
      </c>
      <c r="F91" s="95" t="s">
        <v>296</v>
      </c>
      <c r="G91" s="93" t="s">
        <v>4</v>
      </c>
      <c r="H91" s="94"/>
      <c r="I91" s="88"/>
      <c r="J91" s="95"/>
      <c r="K91" s="122" t="s">
        <v>64</v>
      </c>
      <c r="L91" s="88"/>
      <c r="M91" s="88"/>
      <c r="N91" s="100"/>
      <c r="O91" s="100"/>
    </row>
    <row r="92" spans="2:15" x14ac:dyDescent="0.55000000000000004">
      <c r="B92" s="88">
        <v>87</v>
      </c>
      <c r="C92" s="97" t="str">
        <f t="shared" si="11"/>
        <v>要件定義</v>
      </c>
      <c r="D92" s="98" t="str">
        <f t="shared" si="13"/>
        <v>フェーズ終了時</v>
      </c>
      <c r="E92" s="91" t="s">
        <v>297</v>
      </c>
      <c r="F92" s="95" t="s">
        <v>298</v>
      </c>
      <c r="G92" s="93" t="s">
        <v>4</v>
      </c>
      <c r="H92" s="94"/>
      <c r="I92" s="88"/>
      <c r="J92" s="95"/>
      <c r="K92" s="122" t="s">
        <v>64</v>
      </c>
      <c r="L92" s="88"/>
      <c r="M92" s="88"/>
      <c r="N92" s="100"/>
      <c r="O92" s="100"/>
    </row>
    <row r="93" spans="2:15" x14ac:dyDescent="0.55000000000000004">
      <c r="B93" s="88">
        <v>88</v>
      </c>
      <c r="C93" s="97" t="str">
        <f t="shared" si="11"/>
        <v>要件定義</v>
      </c>
      <c r="D93" s="98" t="str">
        <f t="shared" si="13"/>
        <v>フェーズ終了時</v>
      </c>
      <c r="E93" s="134" t="str">
        <f>E92</f>
        <v>JOB管理</v>
      </c>
      <c r="F93" s="95" t="s">
        <v>299</v>
      </c>
      <c r="G93" s="93" t="s">
        <v>4</v>
      </c>
      <c r="H93" s="94"/>
      <c r="I93" s="88"/>
      <c r="J93" s="95"/>
      <c r="K93" s="122" t="s">
        <v>64</v>
      </c>
      <c r="L93" s="88"/>
      <c r="M93" s="88"/>
      <c r="N93" s="100"/>
      <c r="O93" s="100"/>
    </row>
    <row r="94" spans="2:15" x14ac:dyDescent="0.55000000000000004">
      <c r="B94" s="88">
        <v>89</v>
      </c>
      <c r="C94" s="97" t="str">
        <f t="shared" si="11"/>
        <v>要件定義</v>
      </c>
      <c r="D94" s="98" t="str">
        <f t="shared" si="13"/>
        <v>フェーズ終了時</v>
      </c>
      <c r="E94" s="134" t="str">
        <f>E93</f>
        <v>JOB管理</v>
      </c>
      <c r="F94" s="95" t="s">
        <v>300</v>
      </c>
      <c r="G94" s="93" t="s">
        <v>4</v>
      </c>
      <c r="H94" s="94"/>
      <c r="I94" s="88"/>
      <c r="J94" s="95"/>
      <c r="K94" s="122" t="s">
        <v>64</v>
      </c>
      <c r="L94" s="88"/>
      <c r="M94" s="88"/>
      <c r="N94" s="100"/>
      <c r="O94" s="100"/>
    </row>
    <row r="95" spans="2:15" x14ac:dyDescent="0.55000000000000004">
      <c r="B95" s="88">
        <v>90</v>
      </c>
      <c r="C95" s="97" t="str">
        <f t="shared" si="11"/>
        <v>要件定義</v>
      </c>
      <c r="D95" s="98" t="str">
        <f t="shared" si="13"/>
        <v>フェーズ終了時</v>
      </c>
      <c r="E95" s="134" t="str">
        <f>E94</f>
        <v>JOB管理</v>
      </c>
      <c r="F95" s="95" t="s">
        <v>301</v>
      </c>
      <c r="G95" s="93" t="s">
        <v>4</v>
      </c>
      <c r="H95" s="94"/>
      <c r="I95" s="88"/>
      <c r="J95" s="95"/>
      <c r="K95" s="122" t="s">
        <v>64</v>
      </c>
      <c r="L95" s="88"/>
      <c r="M95" s="88"/>
      <c r="N95" s="100"/>
      <c r="O95" s="100"/>
    </row>
    <row r="96" spans="2:15" x14ac:dyDescent="0.55000000000000004">
      <c r="B96" s="88">
        <v>91</v>
      </c>
      <c r="C96" s="97" t="str">
        <f t="shared" si="11"/>
        <v>要件定義</v>
      </c>
      <c r="D96" s="98" t="str">
        <f t="shared" si="13"/>
        <v>フェーズ終了時</v>
      </c>
      <c r="E96" s="91" t="s">
        <v>302</v>
      </c>
      <c r="F96" s="95" t="s">
        <v>303</v>
      </c>
      <c r="G96" s="93" t="s">
        <v>4</v>
      </c>
      <c r="H96" s="94"/>
      <c r="I96" s="88"/>
      <c r="J96" s="95"/>
      <c r="K96" s="122" t="s">
        <v>64</v>
      </c>
      <c r="L96" s="88"/>
      <c r="M96" s="88"/>
      <c r="N96" s="100"/>
      <c r="O96" s="100"/>
    </row>
    <row r="97" spans="2:15" x14ac:dyDescent="0.55000000000000004">
      <c r="B97" s="88">
        <v>92</v>
      </c>
      <c r="C97" s="97" t="str">
        <f t="shared" si="11"/>
        <v>要件定義</v>
      </c>
      <c r="D97" s="98" t="str">
        <f t="shared" si="13"/>
        <v>フェーズ終了時</v>
      </c>
      <c r="E97" s="135" t="str">
        <f>E96</f>
        <v>AWS利用コストの見積もり</v>
      </c>
      <c r="F97" s="95" t="s">
        <v>304</v>
      </c>
      <c r="G97" s="93" t="s">
        <v>4</v>
      </c>
      <c r="H97" s="94"/>
      <c r="I97" s="88"/>
      <c r="J97" s="95"/>
      <c r="K97" s="122" t="s">
        <v>64</v>
      </c>
      <c r="L97" s="88"/>
      <c r="M97" s="88"/>
      <c r="N97" s="100"/>
      <c r="O97" s="100"/>
    </row>
    <row r="98" spans="2:15" x14ac:dyDescent="0.55000000000000004">
      <c r="B98" s="88">
        <v>93</v>
      </c>
      <c r="C98" s="99" t="str">
        <f t="shared" si="11"/>
        <v>要件定義</v>
      </c>
      <c r="D98" s="98" t="str">
        <f t="shared" si="13"/>
        <v>フェーズ終了時</v>
      </c>
      <c r="E98" s="130" t="s">
        <v>305</v>
      </c>
      <c r="F98" s="157" t="s">
        <v>306</v>
      </c>
      <c r="G98" s="160" t="s">
        <v>4</v>
      </c>
      <c r="H98" s="158"/>
      <c r="I98" s="159"/>
      <c r="J98" s="157"/>
      <c r="K98" s="160" t="s">
        <v>64</v>
      </c>
      <c r="L98" s="159"/>
      <c r="M98" s="159"/>
      <c r="N98" s="100"/>
      <c r="O98" s="100"/>
    </row>
    <row r="99" spans="2:15" x14ac:dyDescent="0.55000000000000004">
      <c r="B99" s="88">
        <v>94</v>
      </c>
      <c r="C99" s="130" t="s">
        <v>214</v>
      </c>
      <c r="D99" s="110" t="s">
        <v>224</v>
      </c>
      <c r="E99" s="89" t="s">
        <v>27</v>
      </c>
      <c r="F99" s="95" t="s">
        <v>26</v>
      </c>
      <c r="G99" s="93" t="s">
        <v>4</v>
      </c>
      <c r="H99" s="94"/>
      <c r="I99" s="88"/>
      <c r="J99" s="95"/>
      <c r="K99" s="122" t="s">
        <v>64</v>
      </c>
      <c r="L99" s="88"/>
      <c r="M99" s="88"/>
      <c r="N99" s="100"/>
      <c r="O99" s="100"/>
    </row>
    <row r="100" spans="2:15" x14ac:dyDescent="0.55000000000000004">
      <c r="B100" s="88">
        <v>95</v>
      </c>
      <c r="C100" s="98" t="str">
        <f t="shared" ref="C100:D107" si="14">C99</f>
        <v>設計</v>
      </c>
      <c r="D100" s="98" t="str">
        <f t="shared" si="14"/>
        <v>フェーズ開始前</v>
      </c>
      <c r="E100" s="130" t="s">
        <v>25</v>
      </c>
      <c r="F100" s="95" t="s">
        <v>39</v>
      </c>
      <c r="G100" s="93" t="s">
        <v>4</v>
      </c>
      <c r="H100" s="94"/>
      <c r="I100" s="88"/>
      <c r="J100" s="95"/>
      <c r="K100" s="122" t="s">
        <v>64</v>
      </c>
      <c r="L100" s="88"/>
      <c r="M100" s="88"/>
      <c r="N100" s="100"/>
      <c r="O100" s="100"/>
    </row>
    <row r="101" spans="2:15" x14ac:dyDescent="0.55000000000000004">
      <c r="B101" s="88">
        <v>96</v>
      </c>
      <c r="C101" s="98" t="str">
        <f t="shared" si="14"/>
        <v>設計</v>
      </c>
      <c r="D101" s="98" t="str">
        <f t="shared" si="14"/>
        <v>フェーズ開始前</v>
      </c>
      <c r="E101" s="91" t="s">
        <v>23</v>
      </c>
      <c r="F101" s="106" t="s">
        <v>22</v>
      </c>
      <c r="G101" s="111" t="s">
        <v>4</v>
      </c>
      <c r="H101" s="112"/>
      <c r="I101" s="113"/>
      <c r="J101" s="106"/>
      <c r="K101" s="122" t="s">
        <v>64</v>
      </c>
      <c r="L101" s="113"/>
      <c r="M101" s="113"/>
      <c r="N101" s="100"/>
      <c r="O101" s="100"/>
    </row>
    <row r="102" spans="2:15" x14ac:dyDescent="0.55000000000000004">
      <c r="B102" s="88">
        <v>97</v>
      </c>
      <c r="C102" s="98" t="str">
        <f t="shared" si="14"/>
        <v>設計</v>
      </c>
      <c r="D102" s="98" t="str">
        <f t="shared" si="14"/>
        <v>フェーズ開始前</v>
      </c>
      <c r="E102" s="134" t="str">
        <f>E101</f>
        <v>スケジュール</v>
      </c>
      <c r="F102" s="116" t="s">
        <v>125</v>
      </c>
      <c r="G102" s="117" t="s">
        <v>4</v>
      </c>
      <c r="H102" s="118"/>
      <c r="I102" s="119"/>
      <c r="J102" s="116"/>
      <c r="K102" s="122" t="s">
        <v>64</v>
      </c>
      <c r="L102" s="119"/>
      <c r="M102" s="119"/>
      <c r="N102" s="100"/>
      <c r="O102" s="100"/>
    </row>
    <row r="103" spans="2:15" ht="36" x14ac:dyDescent="0.55000000000000004">
      <c r="B103" s="88">
        <v>98</v>
      </c>
      <c r="C103" s="98" t="str">
        <f t="shared" si="14"/>
        <v>設計</v>
      </c>
      <c r="D103" s="98" t="str">
        <f t="shared" si="14"/>
        <v>フェーズ開始前</v>
      </c>
      <c r="E103" s="135" t="str">
        <f>E102</f>
        <v>スケジュール</v>
      </c>
      <c r="F103" s="121" t="s">
        <v>135</v>
      </c>
      <c r="G103" s="122" t="s">
        <v>4</v>
      </c>
      <c r="H103" s="123"/>
      <c r="I103" s="124"/>
      <c r="J103" s="121"/>
      <c r="K103" s="122" t="s">
        <v>64</v>
      </c>
      <c r="L103" s="124"/>
      <c r="M103" s="124"/>
      <c r="N103" s="100"/>
      <c r="O103" s="100"/>
    </row>
    <row r="104" spans="2:15" x14ac:dyDescent="0.55000000000000004">
      <c r="B104" s="88">
        <v>99</v>
      </c>
      <c r="C104" s="98" t="str">
        <f t="shared" si="14"/>
        <v>設計</v>
      </c>
      <c r="D104" s="98" t="str">
        <f t="shared" si="14"/>
        <v>フェーズ開始前</v>
      </c>
      <c r="E104" s="130" t="s">
        <v>20</v>
      </c>
      <c r="F104" s="106" t="s">
        <v>19</v>
      </c>
      <c r="G104" s="111" t="s">
        <v>4</v>
      </c>
      <c r="H104" s="112"/>
      <c r="I104" s="113"/>
      <c r="J104" s="106"/>
      <c r="K104" s="122" t="s">
        <v>64</v>
      </c>
      <c r="L104" s="113"/>
      <c r="M104" s="113"/>
      <c r="N104" s="100"/>
      <c r="O104" s="100"/>
    </row>
    <row r="105" spans="2:15" x14ac:dyDescent="0.55000000000000004">
      <c r="B105" s="88">
        <v>100</v>
      </c>
      <c r="C105" s="98" t="str">
        <f t="shared" si="14"/>
        <v>設計</v>
      </c>
      <c r="D105" s="98" t="str">
        <f t="shared" si="14"/>
        <v>フェーズ開始前</v>
      </c>
      <c r="E105" s="134" t="str">
        <f>E104</f>
        <v>セッション</v>
      </c>
      <c r="F105" s="116" t="s">
        <v>18</v>
      </c>
      <c r="G105" s="117" t="s">
        <v>4</v>
      </c>
      <c r="H105" s="118"/>
      <c r="I105" s="119"/>
      <c r="J105" s="116"/>
      <c r="K105" s="122" t="s">
        <v>64</v>
      </c>
      <c r="L105" s="119"/>
      <c r="M105" s="119"/>
      <c r="N105" s="100"/>
      <c r="O105" s="100"/>
    </row>
    <row r="106" spans="2:15" x14ac:dyDescent="0.55000000000000004">
      <c r="B106" s="88">
        <v>101</v>
      </c>
      <c r="C106" s="98" t="str">
        <f t="shared" si="14"/>
        <v>設計</v>
      </c>
      <c r="D106" s="98" t="str">
        <f t="shared" si="14"/>
        <v>フェーズ開始前</v>
      </c>
      <c r="E106" s="134" t="str">
        <f>E105</f>
        <v>セッション</v>
      </c>
      <c r="F106" s="116" t="s">
        <v>17</v>
      </c>
      <c r="G106" s="117" t="s">
        <v>4</v>
      </c>
      <c r="H106" s="118"/>
      <c r="I106" s="119"/>
      <c r="J106" s="116"/>
      <c r="K106" s="122" t="s">
        <v>64</v>
      </c>
      <c r="L106" s="119"/>
      <c r="M106" s="119"/>
      <c r="N106" s="100"/>
      <c r="O106" s="100"/>
    </row>
    <row r="107" spans="2:15" x14ac:dyDescent="0.55000000000000004">
      <c r="B107" s="88">
        <v>102</v>
      </c>
      <c r="C107" s="98" t="str">
        <f t="shared" si="14"/>
        <v>設計</v>
      </c>
      <c r="D107" s="98" t="str">
        <f t="shared" si="14"/>
        <v>フェーズ開始前</v>
      </c>
      <c r="E107" s="135" t="str">
        <f>E106</f>
        <v>セッション</v>
      </c>
      <c r="F107" s="121" t="s">
        <v>166</v>
      </c>
      <c r="G107" s="122" t="s">
        <v>4</v>
      </c>
      <c r="H107" s="123"/>
      <c r="I107" s="124"/>
      <c r="J107" s="121"/>
      <c r="K107" s="122" t="s">
        <v>64</v>
      </c>
      <c r="L107" s="124"/>
      <c r="M107" s="124"/>
      <c r="N107" s="100"/>
      <c r="O107" s="100"/>
    </row>
    <row r="108" spans="2:15" x14ac:dyDescent="0.55000000000000004">
      <c r="B108" s="88">
        <v>103</v>
      </c>
      <c r="C108" s="97" t="str">
        <f t="shared" ref="C108:C122" si="15">C107</f>
        <v>設計</v>
      </c>
      <c r="D108" s="91" t="s">
        <v>239</v>
      </c>
      <c r="E108" s="153" t="s">
        <v>254</v>
      </c>
      <c r="F108" s="106" t="s">
        <v>307</v>
      </c>
      <c r="G108" s="122" t="s">
        <v>4</v>
      </c>
      <c r="H108" s="112"/>
      <c r="I108" s="113"/>
      <c r="J108" s="106"/>
      <c r="K108" s="122" t="s">
        <v>64</v>
      </c>
      <c r="L108" s="113"/>
      <c r="M108" s="113"/>
      <c r="N108" s="100"/>
      <c r="O108" s="100"/>
    </row>
    <row r="109" spans="2:15" ht="144" x14ac:dyDescent="0.55000000000000004">
      <c r="B109" s="88">
        <v>104</v>
      </c>
      <c r="C109" s="97" t="str">
        <f t="shared" si="15"/>
        <v>設計</v>
      </c>
      <c r="D109" s="91" t="s">
        <v>13</v>
      </c>
      <c r="E109" s="91" t="s">
        <v>27</v>
      </c>
      <c r="F109" s="106" t="s">
        <v>136</v>
      </c>
      <c r="G109" s="111" t="s">
        <v>4</v>
      </c>
      <c r="H109" s="112"/>
      <c r="I109" s="113"/>
      <c r="J109" s="106"/>
      <c r="K109" s="122" t="s">
        <v>64</v>
      </c>
      <c r="L109" s="113"/>
      <c r="M109" s="113"/>
      <c r="N109" s="100"/>
      <c r="O109" s="100"/>
    </row>
    <row r="110" spans="2:15" x14ac:dyDescent="0.55000000000000004">
      <c r="B110" s="88">
        <v>105</v>
      </c>
      <c r="C110" s="97" t="str">
        <f t="shared" si="15"/>
        <v>設計</v>
      </c>
      <c r="D110" s="98" t="str">
        <f>D109</f>
        <v>フェーズ終了時</v>
      </c>
      <c r="E110" s="135" t="str">
        <f>E109</f>
        <v>網羅性</v>
      </c>
      <c r="F110" s="121" t="s">
        <v>137</v>
      </c>
      <c r="G110" s="122" t="s">
        <v>4</v>
      </c>
      <c r="H110" s="123"/>
      <c r="I110" s="124"/>
      <c r="J110" s="121"/>
      <c r="K110" s="122" t="s">
        <v>64</v>
      </c>
      <c r="L110" s="124"/>
      <c r="M110" s="124"/>
      <c r="N110" s="100"/>
      <c r="O110" s="100"/>
    </row>
    <row r="111" spans="2:15" ht="72" x14ac:dyDescent="0.55000000000000004">
      <c r="B111" s="88">
        <v>106</v>
      </c>
      <c r="C111" s="97" t="str">
        <f t="shared" si="15"/>
        <v>設計</v>
      </c>
      <c r="D111" s="98" t="str">
        <f t="shared" ref="D111:D122" si="16">D110</f>
        <v>フェーズ終了時</v>
      </c>
      <c r="E111" s="89" t="s">
        <v>41</v>
      </c>
      <c r="F111" s="95" t="s">
        <v>138</v>
      </c>
      <c r="G111" s="93" t="s">
        <v>4</v>
      </c>
      <c r="H111" s="94"/>
      <c r="I111" s="88"/>
      <c r="J111" s="95"/>
      <c r="K111" s="122" t="s">
        <v>64</v>
      </c>
      <c r="L111" s="88"/>
      <c r="M111" s="88"/>
      <c r="N111" s="100"/>
      <c r="O111" s="100"/>
    </row>
    <row r="112" spans="2:15" ht="85.5" x14ac:dyDescent="0.55000000000000004">
      <c r="B112" s="88">
        <v>107</v>
      </c>
      <c r="C112" s="97" t="str">
        <f t="shared" si="15"/>
        <v>設計</v>
      </c>
      <c r="D112" s="98" t="str">
        <f t="shared" si="16"/>
        <v>フェーズ終了時</v>
      </c>
      <c r="E112" s="89" t="s">
        <v>308</v>
      </c>
      <c r="F112" s="95" t="s">
        <v>309</v>
      </c>
      <c r="G112" s="93" t="s">
        <v>4</v>
      </c>
      <c r="H112" s="94"/>
      <c r="I112" s="88"/>
      <c r="J112" s="95"/>
      <c r="K112" s="122" t="s">
        <v>64</v>
      </c>
      <c r="L112" s="88"/>
      <c r="M112" s="88"/>
      <c r="N112" s="100"/>
      <c r="O112" s="100"/>
    </row>
    <row r="113" spans="2:15" ht="90" x14ac:dyDescent="0.55000000000000004">
      <c r="B113" s="88">
        <v>108</v>
      </c>
      <c r="C113" s="97" t="str">
        <f t="shared" si="15"/>
        <v>設計</v>
      </c>
      <c r="D113" s="98" t="str">
        <f t="shared" si="16"/>
        <v>フェーズ終了時</v>
      </c>
      <c r="E113" s="161" t="s">
        <v>310</v>
      </c>
      <c r="F113" s="157" t="s">
        <v>311</v>
      </c>
      <c r="G113" s="93" t="s">
        <v>4</v>
      </c>
      <c r="H113" s="94"/>
      <c r="I113" s="88"/>
      <c r="J113" s="95"/>
      <c r="K113" s="122" t="s">
        <v>64</v>
      </c>
      <c r="L113" s="88"/>
      <c r="M113" s="88"/>
      <c r="N113" s="100"/>
      <c r="O113" s="100"/>
    </row>
    <row r="114" spans="2:15" x14ac:dyDescent="0.55000000000000004">
      <c r="B114" s="88">
        <v>109</v>
      </c>
      <c r="C114" s="97" t="str">
        <f t="shared" si="15"/>
        <v>設計</v>
      </c>
      <c r="D114" s="98" t="str">
        <f t="shared" si="16"/>
        <v>フェーズ終了時</v>
      </c>
      <c r="E114" s="136" t="s">
        <v>8</v>
      </c>
      <c r="F114" s="95" t="s">
        <v>29</v>
      </c>
      <c r="G114" s="93" t="s">
        <v>4</v>
      </c>
      <c r="H114" s="94"/>
      <c r="I114" s="88"/>
      <c r="J114" s="95"/>
      <c r="K114" s="122" t="s">
        <v>64</v>
      </c>
      <c r="L114" s="88"/>
      <c r="M114" s="88"/>
      <c r="N114" s="100"/>
      <c r="O114" s="100"/>
    </row>
    <row r="115" spans="2:15" ht="36" x14ac:dyDescent="0.55000000000000004">
      <c r="B115" s="88">
        <v>110</v>
      </c>
      <c r="C115" s="97" t="str">
        <f t="shared" si="15"/>
        <v>設計</v>
      </c>
      <c r="D115" s="98" t="str">
        <f t="shared" si="16"/>
        <v>フェーズ終了時</v>
      </c>
      <c r="E115" s="91" t="s">
        <v>65</v>
      </c>
      <c r="F115" s="106" t="s">
        <v>139</v>
      </c>
      <c r="G115" s="111" t="s">
        <v>4</v>
      </c>
      <c r="H115" s="112"/>
      <c r="I115" s="113"/>
      <c r="J115" s="106"/>
      <c r="K115" s="122" t="s">
        <v>64</v>
      </c>
      <c r="L115" s="113"/>
      <c r="M115" s="113"/>
      <c r="N115" s="100"/>
      <c r="O115" s="100"/>
    </row>
    <row r="116" spans="2:15" ht="36" x14ac:dyDescent="0.55000000000000004">
      <c r="B116" s="88">
        <v>111</v>
      </c>
      <c r="C116" s="97" t="str">
        <f t="shared" si="15"/>
        <v>設計</v>
      </c>
      <c r="D116" s="98" t="str">
        <f t="shared" si="16"/>
        <v>フェーズ終了時</v>
      </c>
      <c r="E116" s="134" t="str">
        <f>E115</f>
        <v>DDL変更</v>
      </c>
      <c r="F116" s="116" t="s">
        <v>217</v>
      </c>
      <c r="G116" s="117" t="s">
        <v>4</v>
      </c>
      <c r="H116" s="118"/>
      <c r="I116" s="119"/>
      <c r="J116" s="116"/>
      <c r="K116" s="122" t="s">
        <v>64</v>
      </c>
      <c r="L116" s="119"/>
      <c r="M116" s="119"/>
      <c r="N116" s="100"/>
      <c r="O116" s="100"/>
    </row>
    <row r="117" spans="2:15" ht="36" x14ac:dyDescent="0.55000000000000004">
      <c r="B117" s="88">
        <v>112</v>
      </c>
      <c r="C117" s="97" t="str">
        <f t="shared" si="15"/>
        <v>設計</v>
      </c>
      <c r="D117" s="98" t="str">
        <f t="shared" si="16"/>
        <v>フェーズ終了時</v>
      </c>
      <c r="E117" s="134" t="str">
        <f>E116</f>
        <v>DDL変更</v>
      </c>
      <c r="F117" s="116" t="s">
        <v>218</v>
      </c>
      <c r="G117" s="117" t="s">
        <v>4</v>
      </c>
      <c r="H117" s="118"/>
      <c r="I117" s="119"/>
      <c r="J117" s="116"/>
      <c r="K117" s="122" t="s">
        <v>64</v>
      </c>
      <c r="L117" s="119"/>
      <c r="M117" s="119"/>
      <c r="N117" s="100"/>
      <c r="O117" s="100"/>
    </row>
    <row r="118" spans="2:15" ht="36" x14ac:dyDescent="0.55000000000000004">
      <c r="B118" s="88">
        <v>113</v>
      </c>
      <c r="C118" s="98" t="str">
        <f t="shared" si="15"/>
        <v>設計</v>
      </c>
      <c r="D118" s="98" t="str">
        <f t="shared" si="16"/>
        <v>フェーズ終了時</v>
      </c>
      <c r="E118" s="134" t="str">
        <f>E117</f>
        <v>DDL変更</v>
      </c>
      <c r="F118" s="116" t="s">
        <v>231</v>
      </c>
      <c r="G118" s="117" t="s">
        <v>4</v>
      </c>
      <c r="H118" s="118"/>
      <c r="I118" s="119"/>
      <c r="J118" s="116"/>
      <c r="K118" s="122" t="s">
        <v>64</v>
      </c>
      <c r="L118" s="119"/>
      <c r="M118" s="119"/>
      <c r="N118" s="100"/>
      <c r="O118" s="100"/>
    </row>
    <row r="119" spans="2:15" x14ac:dyDescent="0.55000000000000004">
      <c r="B119" s="88">
        <v>114</v>
      </c>
      <c r="C119" s="98" t="str">
        <f t="shared" si="15"/>
        <v>設計</v>
      </c>
      <c r="D119" s="98" t="str">
        <f t="shared" si="16"/>
        <v>フェーズ終了時</v>
      </c>
      <c r="E119" s="134" t="str">
        <f>E118</f>
        <v>DDL変更</v>
      </c>
      <c r="F119" s="116" t="s">
        <v>140</v>
      </c>
      <c r="G119" s="117" t="s">
        <v>4</v>
      </c>
      <c r="H119" s="118"/>
      <c r="I119" s="119"/>
      <c r="J119" s="116"/>
      <c r="K119" s="122" t="s">
        <v>64</v>
      </c>
      <c r="L119" s="119"/>
      <c r="M119" s="119"/>
      <c r="N119" s="100"/>
      <c r="O119" s="100"/>
    </row>
    <row r="120" spans="2:15" x14ac:dyDescent="0.55000000000000004">
      <c r="B120" s="88">
        <v>115</v>
      </c>
      <c r="C120" s="98" t="str">
        <f t="shared" si="15"/>
        <v>設計</v>
      </c>
      <c r="D120" s="98" t="str">
        <f t="shared" si="16"/>
        <v>フェーズ終了時</v>
      </c>
      <c r="E120" s="135" t="str">
        <f>E119</f>
        <v>DDL変更</v>
      </c>
      <c r="F120" s="121" t="s">
        <v>141</v>
      </c>
      <c r="G120" s="122" t="s">
        <v>4</v>
      </c>
      <c r="H120" s="123"/>
      <c r="I120" s="124"/>
      <c r="J120" s="121"/>
      <c r="K120" s="122" t="s">
        <v>64</v>
      </c>
      <c r="L120" s="124"/>
      <c r="M120" s="124"/>
      <c r="N120" s="100"/>
      <c r="O120" s="100"/>
    </row>
    <row r="121" spans="2:15" x14ac:dyDescent="0.55000000000000004">
      <c r="B121" s="88">
        <v>116</v>
      </c>
      <c r="C121" s="98" t="str">
        <f t="shared" si="15"/>
        <v>設計</v>
      </c>
      <c r="D121" s="98" t="str">
        <f t="shared" si="16"/>
        <v>フェーズ終了時</v>
      </c>
      <c r="E121" s="136" t="s">
        <v>212</v>
      </c>
      <c r="F121" s="157" t="s">
        <v>215</v>
      </c>
      <c r="G121" s="122" t="s">
        <v>4</v>
      </c>
      <c r="H121" s="123"/>
      <c r="I121" s="124"/>
      <c r="J121" s="121"/>
      <c r="K121" s="122" t="s">
        <v>64</v>
      </c>
      <c r="L121" s="159"/>
      <c r="M121" s="159"/>
      <c r="N121" s="100"/>
      <c r="O121" s="100"/>
    </row>
    <row r="122" spans="2:15" x14ac:dyDescent="0.55000000000000004">
      <c r="B122" s="88">
        <v>117</v>
      </c>
      <c r="C122" s="98" t="str">
        <f t="shared" si="15"/>
        <v>設計</v>
      </c>
      <c r="D122" s="98" t="str">
        <f t="shared" si="16"/>
        <v>フェーズ終了時</v>
      </c>
      <c r="E122" s="136" t="s">
        <v>367</v>
      </c>
      <c r="F122" s="157" t="s">
        <v>368</v>
      </c>
      <c r="G122" s="93" t="s">
        <v>4</v>
      </c>
      <c r="H122" s="158"/>
      <c r="I122" s="159"/>
      <c r="J122" s="157"/>
      <c r="K122" s="122" t="s">
        <v>64</v>
      </c>
      <c r="L122" s="159"/>
      <c r="M122" s="159"/>
      <c r="N122" s="100"/>
      <c r="O122" s="100"/>
    </row>
    <row r="123" spans="2:15" x14ac:dyDescent="0.55000000000000004">
      <c r="B123" s="88">
        <v>118</v>
      </c>
      <c r="C123" s="91" t="s">
        <v>40</v>
      </c>
      <c r="D123" s="91" t="s">
        <v>6</v>
      </c>
      <c r="E123" s="91" t="s">
        <v>27</v>
      </c>
      <c r="F123" s="106" t="s">
        <v>26</v>
      </c>
      <c r="G123" s="111" t="s">
        <v>4</v>
      </c>
      <c r="H123" s="112"/>
      <c r="I123" s="113"/>
      <c r="J123" s="106"/>
      <c r="K123" s="122" t="s">
        <v>64</v>
      </c>
      <c r="L123" s="113"/>
      <c r="M123" s="113"/>
      <c r="N123" s="100"/>
      <c r="O123" s="100"/>
    </row>
    <row r="124" spans="2:15" x14ac:dyDescent="0.55000000000000004">
      <c r="B124" s="88">
        <v>119</v>
      </c>
      <c r="C124" s="98" t="str">
        <f>C123</f>
        <v>開発・UT</v>
      </c>
      <c r="D124" s="98" t="str">
        <f>D123</f>
        <v>フェーズ開始前</v>
      </c>
      <c r="E124" s="135" t="str">
        <f>E123</f>
        <v>網羅性</v>
      </c>
      <c r="F124" s="121" t="s">
        <v>106</v>
      </c>
      <c r="G124" s="122" t="s">
        <v>4</v>
      </c>
      <c r="H124" s="123"/>
      <c r="I124" s="124"/>
      <c r="J124" s="121"/>
      <c r="K124" s="122" t="s">
        <v>64</v>
      </c>
      <c r="L124" s="124"/>
      <c r="M124" s="124"/>
      <c r="N124" s="100"/>
      <c r="O124" s="100"/>
    </row>
    <row r="125" spans="2:15" x14ac:dyDescent="0.55000000000000004">
      <c r="B125" s="88">
        <v>120</v>
      </c>
      <c r="C125" s="98" t="str">
        <f t="shared" ref="C125:C138" si="17">C124</f>
        <v>開発・UT</v>
      </c>
      <c r="D125" s="98" t="str">
        <f t="shared" ref="D125:D138" si="18">D124</f>
        <v>フェーズ開始前</v>
      </c>
      <c r="E125" s="130" t="s">
        <v>25</v>
      </c>
      <c r="F125" s="95" t="s">
        <v>39</v>
      </c>
      <c r="G125" s="93" t="s">
        <v>4</v>
      </c>
      <c r="H125" s="94"/>
      <c r="I125" s="88"/>
      <c r="J125" s="95"/>
      <c r="K125" s="122" t="s">
        <v>64</v>
      </c>
      <c r="L125" s="88"/>
      <c r="M125" s="88"/>
      <c r="N125" s="100"/>
      <c r="O125" s="100"/>
    </row>
    <row r="126" spans="2:15" x14ac:dyDescent="0.55000000000000004">
      <c r="B126" s="88">
        <v>121</v>
      </c>
      <c r="C126" s="98" t="str">
        <f t="shared" si="17"/>
        <v>開発・UT</v>
      </c>
      <c r="D126" s="98" t="str">
        <f t="shared" si="18"/>
        <v>フェーズ開始前</v>
      </c>
      <c r="E126" s="91" t="s">
        <v>23</v>
      </c>
      <c r="F126" s="106" t="s">
        <v>22</v>
      </c>
      <c r="G126" s="111" t="s">
        <v>4</v>
      </c>
      <c r="H126" s="112"/>
      <c r="I126" s="113"/>
      <c r="J126" s="106"/>
      <c r="K126" s="122" t="s">
        <v>64</v>
      </c>
      <c r="L126" s="113"/>
      <c r="M126" s="113"/>
      <c r="N126" s="100"/>
      <c r="O126" s="100"/>
    </row>
    <row r="127" spans="2:15" x14ac:dyDescent="0.55000000000000004">
      <c r="B127" s="88">
        <v>122</v>
      </c>
      <c r="C127" s="98" t="str">
        <f t="shared" si="17"/>
        <v>開発・UT</v>
      </c>
      <c r="D127" s="98" t="str">
        <f t="shared" si="18"/>
        <v>フェーズ開始前</v>
      </c>
      <c r="E127" s="134" t="str">
        <f>E126</f>
        <v>スケジュール</v>
      </c>
      <c r="F127" s="116" t="s">
        <v>125</v>
      </c>
      <c r="G127" s="117" t="s">
        <v>4</v>
      </c>
      <c r="H127" s="118"/>
      <c r="I127" s="119"/>
      <c r="J127" s="116"/>
      <c r="K127" s="122" t="s">
        <v>64</v>
      </c>
      <c r="L127" s="119"/>
      <c r="M127" s="119"/>
      <c r="N127" s="100"/>
      <c r="O127" s="100"/>
    </row>
    <row r="128" spans="2:15" x14ac:dyDescent="0.55000000000000004">
      <c r="B128" s="88">
        <v>123</v>
      </c>
      <c r="C128" s="98" t="str">
        <f t="shared" si="17"/>
        <v>開発・UT</v>
      </c>
      <c r="D128" s="98" t="str">
        <f t="shared" si="18"/>
        <v>フェーズ開始前</v>
      </c>
      <c r="E128" s="135" t="str">
        <f>E127</f>
        <v>スケジュール</v>
      </c>
      <c r="F128" s="121" t="s">
        <v>5</v>
      </c>
      <c r="G128" s="122" t="s">
        <v>4</v>
      </c>
      <c r="H128" s="123"/>
      <c r="I128" s="124"/>
      <c r="J128" s="121"/>
      <c r="K128" s="122" t="s">
        <v>64</v>
      </c>
      <c r="L128" s="124"/>
      <c r="M128" s="124"/>
      <c r="N128" s="100"/>
      <c r="O128" s="100"/>
    </row>
    <row r="129" spans="2:15" x14ac:dyDescent="0.55000000000000004">
      <c r="B129" s="88">
        <v>124</v>
      </c>
      <c r="C129" s="98" t="str">
        <f t="shared" si="17"/>
        <v>開発・UT</v>
      </c>
      <c r="D129" s="98" t="str">
        <f t="shared" si="18"/>
        <v>フェーズ開始前</v>
      </c>
      <c r="E129" s="130" t="s">
        <v>20</v>
      </c>
      <c r="F129" s="106" t="s">
        <v>19</v>
      </c>
      <c r="G129" s="111" t="s">
        <v>4</v>
      </c>
      <c r="H129" s="112"/>
      <c r="I129" s="113"/>
      <c r="J129" s="106"/>
      <c r="K129" s="122" t="s">
        <v>64</v>
      </c>
      <c r="L129" s="113"/>
      <c r="M129" s="113"/>
      <c r="N129" s="100"/>
      <c r="O129" s="100"/>
    </row>
    <row r="130" spans="2:15" x14ac:dyDescent="0.55000000000000004">
      <c r="B130" s="88">
        <v>125</v>
      </c>
      <c r="C130" s="98" t="str">
        <f t="shared" si="17"/>
        <v>開発・UT</v>
      </c>
      <c r="D130" s="98" t="str">
        <f t="shared" si="18"/>
        <v>フェーズ開始前</v>
      </c>
      <c r="E130" s="134" t="str">
        <f>E129</f>
        <v>セッション</v>
      </c>
      <c r="F130" s="116" t="s">
        <v>18</v>
      </c>
      <c r="G130" s="117" t="s">
        <v>4</v>
      </c>
      <c r="H130" s="118"/>
      <c r="I130" s="119"/>
      <c r="J130" s="116"/>
      <c r="K130" s="122" t="s">
        <v>64</v>
      </c>
      <c r="L130" s="119"/>
      <c r="M130" s="119"/>
      <c r="N130" s="100"/>
      <c r="O130" s="100"/>
    </row>
    <row r="131" spans="2:15" x14ac:dyDescent="0.55000000000000004">
      <c r="B131" s="88">
        <v>126</v>
      </c>
      <c r="C131" s="98" t="str">
        <f t="shared" si="17"/>
        <v>開発・UT</v>
      </c>
      <c r="D131" s="98" t="str">
        <f t="shared" si="18"/>
        <v>フェーズ開始前</v>
      </c>
      <c r="E131" s="134" t="str">
        <f>E130</f>
        <v>セッション</v>
      </c>
      <c r="F131" s="116" t="s">
        <v>17</v>
      </c>
      <c r="G131" s="117" t="s">
        <v>4</v>
      </c>
      <c r="H131" s="118"/>
      <c r="I131" s="119"/>
      <c r="J131" s="116"/>
      <c r="K131" s="122" t="s">
        <v>64</v>
      </c>
      <c r="L131" s="119"/>
      <c r="M131" s="119"/>
      <c r="N131" s="100"/>
      <c r="O131" s="100"/>
    </row>
    <row r="132" spans="2:15" x14ac:dyDescent="0.55000000000000004">
      <c r="B132" s="88">
        <v>127</v>
      </c>
      <c r="C132" s="98" t="str">
        <f t="shared" si="17"/>
        <v>開発・UT</v>
      </c>
      <c r="D132" s="98" t="str">
        <f t="shared" si="18"/>
        <v>フェーズ開始前</v>
      </c>
      <c r="E132" s="135" t="str">
        <f>E131</f>
        <v>セッション</v>
      </c>
      <c r="F132" s="121" t="s">
        <v>166</v>
      </c>
      <c r="G132" s="122" t="s">
        <v>4</v>
      </c>
      <c r="H132" s="123"/>
      <c r="I132" s="124"/>
      <c r="J132" s="121"/>
      <c r="K132" s="122" t="s">
        <v>64</v>
      </c>
      <c r="L132" s="124"/>
      <c r="M132" s="124"/>
      <c r="N132" s="100"/>
      <c r="O132" s="100"/>
    </row>
    <row r="133" spans="2:15" ht="108" x14ac:dyDescent="0.55000000000000004">
      <c r="B133" s="88">
        <v>128</v>
      </c>
      <c r="C133" s="98" t="str">
        <f t="shared" si="17"/>
        <v>開発・UT</v>
      </c>
      <c r="D133" s="98" t="str">
        <f t="shared" si="18"/>
        <v>フェーズ開始前</v>
      </c>
      <c r="E133" s="161" t="s">
        <v>38</v>
      </c>
      <c r="F133" s="95" t="s">
        <v>226</v>
      </c>
      <c r="G133" s="93" t="s">
        <v>4</v>
      </c>
      <c r="H133" s="94"/>
      <c r="I133" s="88"/>
      <c r="J133" s="95"/>
      <c r="K133" s="122" t="s">
        <v>64</v>
      </c>
      <c r="L133" s="88"/>
      <c r="M133" s="88"/>
      <c r="N133" s="100"/>
      <c r="O133" s="100"/>
    </row>
    <row r="134" spans="2:15" ht="36" x14ac:dyDescent="0.55000000000000004">
      <c r="B134" s="88">
        <v>129</v>
      </c>
      <c r="C134" s="98" t="str">
        <f t="shared" si="17"/>
        <v>開発・UT</v>
      </c>
      <c r="D134" s="98" t="str">
        <f t="shared" si="18"/>
        <v>フェーズ開始前</v>
      </c>
      <c r="E134" s="130" t="s">
        <v>37</v>
      </c>
      <c r="F134" s="106" t="s">
        <v>228</v>
      </c>
      <c r="G134" s="111" t="s">
        <v>4</v>
      </c>
      <c r="H134" s="112"/>
      <c r="I134" s="113"/>
      <c r="J134" s="106"/>
      <c r="K134" s="122" t="s">
        <v>64</v>
      </c>
      <c r="L134" s="113"/>
      <c r="M134" s="113"/>
      <c r="N134" s="100"/>
      <c r="O134" s="100"/>
    </row>
    <row r="135" spans="2:15" x14ac:dyDescent="0.55000000000000004">
      <c r="B135" s="88">
        <v>130</v>
      </c>
      <c r="C135" s="98" t="str">
        <f t="shared" si="17"/>
        <v>開発・UT</v>
      </c>
      <c r="D135" s="98" t="str">
        <f t="shared" si="18"/>
        <v>フェーズ開始前</v>
      </c>
      <c r="E135" s="135" t="str">
        <f>E134</f>
        <v>資源管理</v>
      </c>
      <c r="F135" s="121" t="s">
        <v>142</v>
      </c>
      <c r="G135" s="122" t="s">
        <v>4</v>
      </c>
      <c r="H135" s="123"/>
      <c r="I135" s="124"/>
      <c r="J135" s="121"/>
      <c r="K135" s="122" t="s">
        <v>64</v>
      </c>
      <c r="L135" s="124"/>
      <c r="M135" s="124"/>
      <c r="N135" s="100"/>
      <c r="O135" s="100"/>
    </row>
    <row r="136" spans="2:15" x14ac:dyDescent="0.55000000000000004">
      <c r="B136" s="88">
        <v>131</v>
      </c>
      <c r="C136" s="98" t="str">
        <f t="shared" si="17"/>
        <v>開発・UT</v>
      </c>
      <c r="D136" s="98" t="str">
        <f t="shared" si="18"/>
        <v>フェーズ開始前</v>
      </c>
      <c r="E136" s="89" t="s">
        <v>36</v>
      </c>
      <c r="F136" s="95" t="s">
        <v>143</v>
      </c>
      <c r="G136" s="93" t="s">
        <v>4</v>
      </c>
      <c r="H136" s="94"/>
      <c r="I136" s="88"/>
      <c r="J136" s="95"/>
      <c r="K136" s="122" t="s">
        <v>64</v>
      </c>
      <c r="L136" s="88"/>
      <c r="M136" s="88"/>
      <c r="N136" s="100"/>
      <c r="O136" s="100"/>
    </row>
    <row r="137" spans="2:15" x14ac:dyDescent="0.55000000000000004">
      <c r="B137" s="88">
        <v>132</v>
      </c>
      <c r="C137" s="98" t="str">
        <f t="shared" si="17"/>
        <v>開発・UT</v>
      </c>
      <c r="D137" s="98" t="str">
        <f t="shared" si="18"/>
        <v>フェーズ開始前</v>
      </c>
      <c r="E137" s="89" t="s">
        <v>35</v>
      </c>
      <c r="F137" s="95" t="s">
        <v>144</v>
      </c>
      <c r="G137" s="93" t="s">
        <v>4</v>
      </c>
      <c r="H137" s="94"/>
      <c r="I137" s="88"/>
      <c r="J137" s="95"/>
      <c r="K137" s="122" t="s">
        <v>64</v>
      </c>
      <c r="L137" s="88"/>
      <c r="M137" s="88"/>
      <c r="N137" s="100"/>
      <c r="O137" s="100"/>
    </row>
    <row r="138" spans="2:15" x14ac:dyDescent="0.55000000000000004">
      <c r="B138" s="88">
        <v>133</v>
      </c>
      <c r="C138" s="99" t="str">
        <f t="shared" si="17"/>
        <v>開発・UT</v>
      </c>
      <c r="D138" s="98" t="str">
        <f t="shared" si="18"/>
        <v>フェーズ開始前</v>
      </c>
      <c r="E138" s="130" t="s">
        <v>305</v>
      </c>
      <c r="F138" s="157" t="s">
        <v>312</v>
      </c>
      <c r="G138" s="160" t="s">
        <v>4</v>
      </c>
      <c r="H138" s="158"/>
      <c r="I138" s="159"/>
      <c r="J138" s="157"/>
      <c r="K138" s="160" t="s">
        <v>64</v>
      </c>
      <c r="L138" s="159"/>
      <c r="M138" s="159"/>
      <c r="N138" s="100"/>
      <c r="O138" s="100"/>
    </row>
    <row r="139" spans="2:15" ht="36" x14ac:dyDescent="0.55000000000000004">
      <c r="B139" s="88">
        <v>134</v>
      </c>
      <c r="C139" s="98" t="str">
        <f>C137</f>
        <v>開発・UT</v>
      </c>
      <c r="D139" s="91" t="s">
        <v>13</v>
      </c>
      <c r="E139" s="91" t="s">
        <v>27</v>
      </c>
      <c r="F139" s="106" t="s">
        <v>145</v>
      </c>
      <c r="G139" s="111" t="s">
        <v>4</v>
      </c>
      <c r="H139" s="112"/>
      <c r="I139" s="113"/>
      <c r="J139" s="106"/>
      <c r="K139" s="122" t="s">
        <v>64</v>
      </c>
      <c r="L139" s="113"/>
      <c r="M139" s="113"/>
      <c r="N139" s="100"/>
      <c r="O139" s="100"/>
    </row>
    <row r="140" spans="2:15" ht="36" x14ac:dyDescent="0.55000000000000004">
      <c r="B140" s="88">
        <v>135</v>
      </c>
      <c r="C140" s="98" t="str">
        <f t="shared" ref="C140:E142" si="19">C139</f>
        <v>開発・UT</v>
      </c>
      <c r="D140" s="98" t="str">
        <f t="shared" si="19"/>
        <v>フェーズ終了時</v>
      </c>
      <c r="E140" s="134" t="str">
        <f t="shared" si="19"/>
        <v>網羅性</v>
      </c>
      <c r="F140" s="116" t="s">
        <v>146</v>
      </c>
      <c r="G140" s="117" t="s">
        <v>4</v>
      </c>
      <c r="H140" s="118"/>
      <c r="I140" s="119"/>
      <c r="J140" s="116"/>
      <c r="K140" s="122" t="s">
        <v>64</v>
      </c>
      <c r="L140" s="119"/>
      <c r="M140" s="119"/>
      <c r="N140" s="100"/>
      <c r="O140" s="100"/>
    </row>
    <row r="141" spans="2:15" x14ac:dyDescent="0.55000000000000004">
      <c r="B141" s="88">
        <v>136</v>
      </c>
      <c r="C141" s="98" t="str">
        <f t="shared" si="19"/>
        <v>開発・UT</v>
      </c>
      <c r="D141" s="98" t="str">
        <f t="shared" si="19"/>
        <v>フェーズ終了時</v>
      </c>
      <c r="E141" s="134" t="str">
        <f t="shared" si="19"/>
        <v>網羅性</v>
      </c>
      <c r="F141" s="116" t="s">
        <v>34</v>
      </c>
      <c r="G141" s="117" t="s">
        <v>4</v>
      </c>
      <c r="H141" s="118"/>
      <c r="I141" s="119"/>
      <c r="J141" s="116"/>
      <c r="K141" s="122" t="s">
        <v>64</v>
      </c>
      <c r="L141" s="119"/>
      <c r="M141" s="119"/>
      <c r="N141" s="100"/>
      <c r="O141" s="100"/>
    </row>
    <row r="142" spans="2:15" x14ac:dyDescent="0.55000000000000004">
      <c r="B142" s="88">
        <v>137</v>
      </c>
      <c r="C142" s="98" t="str">
        <f t="shared" si="19"/>
        <v>開発・UT</v>
      </c>
      <c r="D142" s="98" t="str">
        <f t="shared" si="19"/>
        <v>フェーズ終了時</v>
      </c>
      <c r="E142" s="135" t="str">
        <f t="shared" si="19"/>
        <v>網羅性</v>
      </c>
      <c r="F142" s="121" t="s">
        <v>33</v>
      </c>
      <c r="G142" s="122" t="s">
        <v>4</v>
      </c>
      <c r="H142" s="123"/>
      <c r="I142" s="124"/>
      <c r="J142" s="121"/>
      <c r="K142" s="122" t="s">
        <v>64</v>
      </c>
      <c r="L142" s="124"/>
      <c r="M142" s="124"/>
      <c r="N142" s="100"/>
      <c r="O142" s="100"/>
    </row>
    <row r="143" spans="2:15" x14ac:dyDescent="0.55000000000000004">
      <c r="B143" s="88">
        <v>138</v>
      </c>
      <c r="C143" s="98" t="str">
        <f t="shared" ref="C143:C151" si="20">C142</f>
        <v>開発・UT</v>
      </c>
      <c r="D143" s="98" t="str">
        <f t="shared" ref="D143:D151" si="21">D142</f>
        <v>フェーズ終了時</v>
      </c>
      <c r="E143" s="89" t="s">
        <v>10</v>
      </c>
      <c r="F143" s="95" t="s">
        <v>32</v>
      </c>
      <c r="G143" s="93" t="s">
        <v>4</v>
      </c>
      <c r="H143" s="94"/>
      <c r="I143" s="88"/>
      <c r="J143" s="95"/>
      <c r="K143" s="122" t="s">
        <v>64</v>
      </c>
      <c r="L143" s="88"/>
      <c r="M143" s="88"/>
      <c r="N143" s="100"/>
      <c r="O143" s="100"/>
    </row>
    <row r="144" spans="2:15" x14ac:dyDescent="0.55000000000000004">
      <c r="B144" s="88">
        <v>139</v>
      </c>
      <c r="C144" s="98" t="str">
        <f t="shared" si="20"/>
        <v>開発・UT</v>
      </c>
      <c r="D144" s="98" t="str">
        <f t="shared" si="21"/>
        <v>フェーズ終了時</v>
      </c>
      <c r="E144" s="136" t="s">
        <v>8</v>
      </c>
      <c r="F144" s="95" t="s">
        <v>29</v>
      </c>
      <c r="G144" s="93" t="s">
        <v>4</v>
      </c>
      <c r="H144" s="94"/>
      <c r="I144" s="88"/>
      <c r="J144" s="95"/>
      <c r="K144" s="122" t="s">
        <v>64</v>
      </c>
      <c r="L144" s="88"/>
      <c r="M144" s="88"/>
      <c r="N144" s="100"/>
      <c r="O144" s="100"/>
    </row>
    <row r="145" spans="2:15" x14ac:dyDescent="0.55000000000000004">
      <c r="B145" s="88">
        <v>140</v>
      </c>
      <c r="C145" s="98" t="str">
        <f t="shared" si="20"/>
        <v>開発・UT</v>
      </c>
      <c r="D145" s="98" t="str">
        <f t="shared" si="21"/>
        <v>フェーズ終了時</v>
      </c>
      <c r="E145" s="136" t="s">
        <v>212</v>
      </c>
      <c r="F145" s="95" t="s">
        <v>223</v>
      </c>
      <c r="G145" s="93" t="s">
        <v>4</v>
      </c>
      <c r="H145" s="94"/>
      <c r="I145" s="88"/>
      <c r="J145" s="95"/>
      <c r="K145" s="122" t="s">
        <v>64</v>
      </c>
      <c r="L145" s="88"/>
      <c r="M145" s="88"/>
      <c r="N145" s="100"/>
      <c r="O145" s="100"/>
    </row>
    <row r="146" spans="2:15" x14ac:dyDescent="0.55000000000000004">
      <c r="B146" s="88">
        <v>141</v>
      </c>
      <c r="C146" s="98" t="str">
        <f t="shared" si="20"/>
        <v>開発・UT</v>
      </c>
      <c r="D146" s="98" t="str">
        <f t="shared" si="21"/>
        <v>フェーズ終了時</v>
      </c>
      <c r="E146" s="130" t="s">
        <v>313</v>
      </c>
      <c r="F146" s="106" t="s">
        <v>70</v>
      </c>
      <c r="G146" s="111" t="s">
        <v>4</v>
      </c>
      <c r="H146" s="112"/>
      <c r="I146" s="113"/>
      <c r="J146" s="106"/>
      <c r="K146" s="122" t="s">
        <v>64</v>
      </c>
      <c r="L146" s="113"/>
      <c r="M146" s="113"/>
      <c r="N146" s="100"/>
      <c r="O146" s="100"/>
    </row>
    <row r="147" spans="2:15" ht="36" x14ac:dyDescent="0.55000000000000004">
      <c r="B147" s="88">
        <v>142</v>
      </c>
      <c r="C147" s="98" t="str">
        <f t="shared" si="20"/>
        <v>開発・UT</v>
      </c>
      <c r="D147" s="98" t="str">
        <f t="shared" si="21"/>
        <v>フェーズ終了時</v>
      </c>
      <c r="E147" s="134" t="str">
        <f>E146</f>
        <v>先の工程に向けた準備</v>
      </c>
      <c r="F147" s="116" t="s">
        <v>89</v>
      </c>
      <c r="G147" s="117" t="s">
        <v>4</v>
      </c>
      <c r="H147" s="118"/>
      <c r="I147" s="119"/>
      <c r="J147" s="116"/>
      <c r="K147" s="122" t="s">
        <v>64</v>
      </c>
      <c r="L147" s="119"/>
      <c r="M147" s="119"/>
      <c r="N147" s="100"/>
      <c r="O147" s="100"/>
    </row>
    <row r="148" spans="2:15" x14ac:dyDescent="0.55000000000000004">
      <c r="B148" s="88">
        <v>143</v>
      </c>
      <c r="C148" s="98" t="str">
        <f t="shared" si="20"/>
        <v>開発・UT</v>
      </c>
      <c r="D148" s="98" t="str">
        <f t="shared" si="21"/>
        <v>フェーズ終了時</v>
      </c>
      <c r="E148" s="134" t="str">
        <f>E147</f>
        <v>先の工程に向けた準備</v>
      </c>
      <c r="F148" s="116" t="s">
        <v>90</v>
      </c>
      <c r="G148" s="117" t="s">
        <v>4</v>
      </c>
      <c r="H148" s="118"/>
      <c r="I148" s="119"/>
      <c r="J148" s="116"/>
      <c r="K148" s="122" t="s">
        <v>64</v>
      </c>
      <c r="L148" s="119"/>
      <c r="M148" s="119"/>
      <c r="N148" s="100"/>
      <c r="O148" s="100"/>
    </row>
    <row r="149" spans="2:15" x14ac:dyDescent="0.55000000000000004">
      <c r="B149" s="88">
        <v>144</v>
      </c>
      <c r="C149" s="98" t="str">
        <f t="shared" si="20"/>
        <v>開発・UT</v>
      </c>
      <c r="D149" s="98" t="str">
        <f t="shared" si="21"/>
        <v>フェーズ終了時</v>
      </c>
      <c r="E149" s="134" t="str">
        <f>E148</f>
        <v>先の工程に向けた準備</v>
      </c>
      <c r="F149" s="116" t="s">
        <v>105</v>
      </c>
      <c r="G149" s="117" t="s">
        <v>4</v>
      </c>
      <c r="H149" s="118"/>
      <c r="I149" s="119"/>
      <c r="J149" s="116"/>
      <c r="K149" s="122" t="s">
        <v>64</v>
      </c>
      <c r="L149" s="119"/>
      <c r="M149" s="119"/>
      <c r="N149" s="100"/>
      <c r="O149" s="100"/>
    </row>
    <row r="150" spans="2:15" x14ac:dyDescent="0.55000000000000004">
      <c r="B150" s="88">
        <v>145</v>
      </c>
      <c r="C150" s="98" t="str">
        <f t="shared" si="20"/>
        <v>開発・UT</v>
      </c>
      <c r="D150" s="98" t="str">
        <f t="shared" si="21"/>
        <v>フェーズ終了時</v>
      </c>
      <c r="E150" s="135" t="str">
        <f>E149</f>
        <v>先の工程に向けた準備</v>
      </c>
      <c r="F150" s="121" t="s">
        <v>91</v>
      </c>
      <c r="G150" s="122" t="s">
        <v>4</v>
      </c>
      <c r="H150" s="123"/>
      <c r="I150" s="124"/>
      <c r="J150" s="121"/>
      <c r="K150" s="122" t="s">
        <v>64</v>
      </c>
      <c r="L150" s="124"/>
      <c r="M150" s="124"/>
      <c r="N150" s="100"/>
      <c r="O150" s="100"/>
    </row>
    <row r="151" spans="2:15" x14ac:dyDescent="0.55000000000000004">
      <c r="B151" s="88">
        <v>146</v>
      </c>
      <c r="C151" s="99" t="str">
        <f t="shared" si="20"/>
        <v>開発・UT</v>
      </c>
      <c r="D151" s="99" t="str">
        <f t="shared" si="21"/>
        <v>フェーズ終了時</v>
      </c>
      <c r="E151" s="136" t="s">
        <v>169</v>
      </c>
      <c r="F151" s="157" t="s">
        <v>171</v>
      </c>
      <c r="G151" s="122" t="s">
        <v>4</v>
      </c>
      <c r="H151" s="158"/>
      <c r="I151" s="159"/>
      <c r="J151" s="157"/>
      <c r="K151" s="122" t="s">
        <v>64</v>
      </c>
      <c r="L151" s="159"/>
      <c r="M151" s="159"/>
      <c r="N151" s="100"/>
      <c r="O151" s="100"/>
    </row>
    <row r="152" spans="2:15" x14ac:dyDescent="0.55000000000000004">
      <c r="B152" s="88">
        <v>147</v>
      </c>
      <c r="C152" s="130" t="s">
        <v>75</v>
      </c>
      <c r="D152" s="130" t="s">
        <v>76</v>
      </c>
      <c r="E152" s="91" t="s">
        <v>75</v>
      </c>
      <c r="F152" s="106" t="s">
        <v>93</v>
      </c>
      <c r="G152" s="111" t="s">
        <v>4</v>
      </c>
      <c r="H152" s="112"/>
      <c r="I152" s="113"/>
      <c r="J152" s="106"/>
      <c r="K152" s="122" t="s">
        <v>64</v>
      </c>
      <c r="L152" s="113"/>
      <c r="M152" s="113"/>
      <c r="N152" s="100"/>
      <c r="O152" s="100"/>
    </row>
    <row r="153" spans="2:15" x14ac:dyDescent="0.55000000000000004">
      <c r="B153" s="88">
        <v>148</v>
      </c>
      <c r="C153" s="98" t="str">
        <f t="shared" ref="C153:E160" si="22">C152</f>
        <v>UAT計画</v>
      </c>
      <c r="D153" s="98" t="str">
        <f t="shared" si="22"/>
        <v>ITa開始時</v>
      </c>
      <c r="E153" s="134" t="str">
        <f t="shared" si="22"/>
        <v>UAT計画</v>
      </c>
      <c r="F153" s="116" t="s">
        <v>95</v>
      </c>
      <c r="G153" s="117" t="s">
        <v>4</v>
      </c>
      <c r="H153" s="118"/>
      <c r="I153" s="119"/>
      <c r="J153" s="116"/>
      <c r="K153" s="122" t="s">
        <v>64</v>
      </c>
      <c r="L153" s="119"/>
      <c r="M153" s="119"/>
      <c r="N153" s="100"/>
      <c r="O153" s="100"/>
    </row>
    <row r="154" spans="2:15" x14ac:dyDescent="0.55000000000000004">
      <c r="B154" s="88">
        <v>149</v>
      </c>
      <c r="C154" s="98" t="str">
        <f t="shared" si="22"/>
        <v>UAT計画</v>
      </c>
      <c r="D154" s="98" t="str">
        <f t="shared" si="22"/>
        <v>ITa開始時</v>
      </c>
      <c r="E154" s="134" t="str">
        <f t="shared" si="22"/>
        <v>UAT計画</v>
      </c>
      <c r="F154" s="116" t="s">
        <v>17</v>
      </c>
      <c r="G154" s="117" t="s">
        <v>4</v>
      </c>
      <c r="H154" s="118"/>
      <c r="I154" s="119"/>
      <c r="J154" s="116"/>
      <c r="K154" s="122" t="s">
        <v>64</v>
      </c>
      <c r="L154" s="119"/>
      <c r="M154" s="119"/>
      <c r="N154" s="100"/>
      <c r="O154" s="100"/>
    </row>
    <row r="155" spans="2:15" x14ac:dyDescent="0.55000000000000004">
      <c r="B155" s="88">
        <v>150</v>
      </c>
      <c r="C155" s="98" t="str">
        <f t="shared" si="22"/>
        <v>UAT計画</v>
      </c>
      <c r="D155" s="98" t="str">
        <f t="shared" si="22"/>
        <v>ITa開始時</v>
      </c>
      <c r="E155" s="134" t="str">
        <f t="shared" si="22"/>
        <v>UAT計画</v>
      </c>
      <c r="F155" s="116" t="s">
        <v>94</v>
      </c>
      <c r="G155" s="117" t="s">
        <v>4</v>
      </c>
      <c r="H155" s="118"/>
      <c r="I155" s="119"/>
      <c r="J155" s="116"/>
      <c r="K155" s="122" t="s">
        <v>64</v>
      </c>
      <c r="L155" s="119"/>
      <c r="M155" s="119"/>
      <c r="N155" s="100"/>
      <c r="O155" s="100"/>
    </row>
    <row r="156" spans="2:15" x14ac:dyDescent="0.55000000000000004">
      <c r="B156" s="88">
        <v>151</v>
      </c>
      <c r="C156" s="98" t="str">
        <f t="shared" si="22"/>
        <v>UAT計画</v>
      </c>
      <c r="D156" s="98" t="str">
        <f t="shared" si="22"/>
        <v>ITa開始時</v>
      </c>
      <c r="E156" s="134" t="str">
        <f t="shared" si="22"/>
        <v>UAT計画</v>
      </c>
      <c r="F156" s="116" t="s">
        <v>92</v>
      </c>
      <c r="G156" s="117" t="s">
        <v>4</v>
      </c>
      <c r="H156" s="118"/>
      <c r="I156" s="119"/>
      <c r="J156" s="116"/>
      <c r="K156" s="122" t="s">
        <v>64</v>
      </c>
      <c r="L156" s="119"/>
      <c r="M156" s="119"/>
      <c r="N156" s="100"/>
      <c r="O156" s="100"/>
    </row>
    <row r="157" spans="2:15" x14ac:dyDescent="0.55000000000000004">
      <c r="B157" s="88">
        <v>152</v>
      </c>
      <c r="C157" s="98" t="str">
        <f t="shared" si="22"/>
        <v>UAT計画</v>
      </c>
      <c r="D157" s="98" t="str">
        <f t="shared" si="22"/>
        <v>ITa開始時</v>
      </c>
      <c r="E157" s="134" t="str">
        <f t="shared" si="22"/>
        <v>UAT計画</v>
      </c>
      <c r="F157" s="116" t="s">
        <v>77</v>
      </c>
      <c r="G157" s="117" t="s">
        <v>4</v>
      </c>
      <c r="H157" s="118"/>
      <c r="I157" s="119"/>
      <c r="J157" s="116"/>
      <c r="K157" s="122" t="s">
        <v>64</v>
      </c>
      <c r="L157" s="119"/>
      <c r="M157" s="119"/>
      <c r="N157" s="100"/>
      <c r="O157" s="100"/>
    </row>
    <row r="158" spans="2:15" x14ac:dyDescent="0.55000000000000004">
      <c r="B158" s="88">
        <v>153</v>
      </c>
      <c r="C158" s="98" t="str">
        <f t="shared" si="22"/>
        <v>UAT計画</v>
      </c>
      <c r="D158" s="98" t="str">
        <f t="shared" si="22"/>
        <v>ITa開始時</v>
      </c>
      <c r="E158" s="134" t="str">
        <f t="shared" si="22"/>
        <v>UAT計画</v>
      </c>
      <c r="F158" s="116" t="s">
        <v>78</v>
      </c>
      <c r="G158" s="117" t="s">
        <v>4</v>
      </c>
      <c r="H158" s="118"/>
      <c r="I158" s="119"/>
      <c r="J158" s="116"/>
      <c r="K158" s="122" t="s">
        <v>64</v>
      </c>
      <c r="L158" s="119"/>
      <c r="M158" s="119"/>
      <c r="N158" s="100"/>
      <c r="O158" s="100"/>
    </row>
    <row r="159" spans="2:15" x14ac:dyDescent="0.55000000000000004">
      <c r="B159" s="88">
        <v>154</v>
      </c>
      <c r="C159" s="98" t="str">
        <f t="shared" si="22"/>
        <v>UAT計画</v>
      </c>
      <c r="D159" s="98" t="str">
        <f t="shared" si="22"/>
        <v>ITa開始時</v>
      </c>
      <c r="E159" s="134" t="str">
        <f t="shared" si="22"/>
        <v>UAT計画</v>
      </c>
      <c r="F159" s="116" t="s">
        <v>79</v>
      </c>
      <c r="G159" s="117" t="s">
        <v>4</v>
      </c>
      <c r="H159" s="118"/>
      <c r="I159" s="119"/>
      <c r="J159" s="116"/>
      <c r="K159" s="122" t="s">
        <v>64</v>
      </c>
      <c r="L159" s="119"/>
      <c r="M159" s="119"/>
      <c r="N159" s="100"/>
      <c r="O159" s="100"/>
    </row>
    <row r="160" spans="2:15" x14ac:dyDescent="0.55000000000000004">
      <c r="B160" s="88">
        <v>155</v>
      </c>
      <c r="C160" s="98" t="str">
        <f t="shared" si="22"/>
        <v>UAT計画</v>
      </c>
      <c r="D160" s="98" t="str">
        <f t="shared" si="22"/>
        <v>ITa開始時</v>
      </c>
      <c r="E160" s="135" t="str">
        <f t="shared" si="22"/>
        <v>UAT計画</v>
      </c>
      <c r="F160" s="121" t="s">
        <v>154</v>
      </c>
      <c r="G160" s="122" t="s">
        <v>4</v>
      </c>
      <c r="H160" s="123"/>
      <c r="I160" s="124"/>
      <c r="J160" s="121"/>
      <c r="K160" s="122" t="s">
        <v>64</v>
      </c>
      <c r="L160" s="124"/>
      <c r="M160" s="124"/>
      <c r="N160" s="100"/>
      <c r="O160" s="100"/>
    </row>
    <row r="161" spans="2:15" ht="36" x14ac:dyDescent="0.55000000000000004">
      <c r="B161" s="88">
        <v>156</v>
      </c>
      <c r="C161" s="99" t="str">
        <f>C160</f>
        <v>UAT計画</v>
      </c>
      <c r="D161" s="99" t="str">
        <f>D160</f>
        <v>ITa開始時</v>
      </c>
      <c r="E161" s="136" t="s">
        <v>168</v>
      </c>
      <c r="F161" s="157" t="s">
        <v>170</v>
      </c>
      <c r="G161" s="122" t="s">
        <v>4</v>
      </c>
      <c r="H161" s="158"/>
      <c r="I161" s="159"/>
      <c r="J161" s="157"/>
      <c r="K161" s="122" t="s">
        <v>64</v>
      </c>
      <c r="L161" s="159"/>
      <c r="M161" s="159"/>
      <c r="N161" s="100"/>
      <c r="O161" s="100"/>
    </row>
    <row r="162" spans="2:15" x14ac:dyDescent="0.55000000000000004">
      <c r="B162" s="88">
        <v>157</v>
      </c>
      <c r="C162" s="91" t="s">
        <v>31</v>
      </c>
      <c r="D162" s="91" t="s">
        <v>6</v>
      </c>
      <c r="E162" s="89" t="s">
        <v>27</v>
      </c>
      <c r="F162" s="106" t="s">
        <v>26</v>
      </c>
      <c r="G162" s="111" t="s">
        <v>4</v>
      </c>
      <c r="H162" s="112"/>
      <c r="I162" s="113"/>
      <c r="J162" s="106"/>
      <c r="K162" s="122" t="s">
        <v>64</v>
      </c>
      <c r="L162" s="113"/>
      <c r="M162" s="113"/>
      <c r="N162" s="100"/>
      <c r="O162" s="100"/>
    </row>
    <row r="163" spans="2:15" x14ac:dyDescent="0.55000000000000004">
      <c r="B163" s="88">
        <v>158</v>
      </c>
      <c r="C163" s="98" t="str">
        <f t="shared" ref="C163:C171" si="23">C162</f>
        <v>Ita</v>
      </c>
      <c r="D163" s="98" t="str">
        <f t="shared" ref="D163:D171" si="24">D162</f>
        <v>フェーズ開始前</v>
      </c>
      <c r="E163" s="130" t="s">
        <v>25</v>
      </c>
      <c r="F163" s="121" t="s">
        <v>24</v>
      </c>
      <c r="G163" s="122" t="s">
        <v>4</v>
      </c>
      <c r="H163" s="123"/>
      <c r="I163" s="124"/>
      <c r="J163" s="121"/>
      <c r="K163" s="122" t="s">
        <v>64</v>
      </c>
      <c r="L163" s="124"/>
      <c r="M163" s="124"/>
      <c r="N163" s="100"/>
      <c r="O163" s="100"/>
    </row>
    <row r="164" spans="2:15" x14ac:dyDescent="0.55000000000000004">
      <c r="B164" s="88">
        <v>159</v>
      </c>
      <c r="C164" s="98" t="str">
        <f t="shared" si="23"/>
        <v>Ita</v>
      </c>
      <c r="D164" s="98" t="str">
        <f t="shared" si="24"/>
        <v>フェーズ開始前</v>
      </c>
      <c r="E164" s="91" t="s">
        <v>23</v>
      </c>
      <c r="F164" s="106" t="s">
        <v>22</v>
      </c>
      <c r="G164" s="111" t="s">
        <v>4</v>
      </c>
      <c r="H164" s="112"/>
      <c r="I164" s="113"/>
      <c r="J164" s="106"/>
      <c r="K164" s="122" t="s">
        <v>64</v>
      </c>
      <c r="L164" s="113"/>
      <c r="M164" s="113"/>
      <c r="N164" s="100"/>
      <c r="O164" s="100"/>
    </row>
    <row r="165" spans="2:15" x14ac:dyDescent="0.55000000000000004">
      <c r="B165" s="88">
        <v>160</v>
      </c>
      <c r="C165" s="98" t="str">
        <f t="shared" si="23"/>
        <v>Ita</v>
      </c>
      <c r="D165" s="98" t="str">
        <f t="shared" si="24"/>
        <v>フェーズ開始前</v>
      </c>
      <c r="E165" s="134" t="str">
        <f>E164</f>
        <v>スケジュール</v>
      </c>
      <c r="F165" s="116" t="s">
        <v>125</v>
      </c>
      <c r="G165" s="117" t="s">
        <v>4</v>
      </c>
      <c r="H165" s="118"/>
      <c r="I165" s="119"/>
      <c r="J165" s="116"/>
      <c r="K165" s="122" t="s">
        <v>64</v>
      </c>
      <c r="L165" s="119"/>
      <c r="M165" s="119"/>
      <c r="N165" s="100"/>
      <c r="O165" s="100"/>
    </row>
    <row r="166" spans="2:15" x14ac:dyDescent="0.55000000000000004">
      <c r="B166" s="88">
        <v>161</v>
      </c>
      <c r="C166" s="98" t="str">
        <f t="shared" si="23"/>
        <v>Ita</v>
      </c>
      <c r="D166" s="98" t="str">
        <f t="shared" si="24"/>
        <v>フェーズ開始前</v>
      </c>
      <c r="E166" s="135" t="str">
        <f>E165</f>
        <v>スケジュール</v>
      </c>
      <c r="F166" s="121" t="s">
        <v>5</v>
      </c>
      <c r="G166" s="122" t="s">
        <v>4</v>
      </c>
      <c r="H166" s="123"/>
      <c r="I166" s="124"/>
      <c r="J166" s="121"/>
      <c r="K166" s="122" t="s">
        <v>64</v>
      </c>
      <c r="L166" s="124"/>
      <c r="M166" s="124"/>
      <c r="N166" s="100"/>
      <c r="O166" s="100"/>
    </row>
    <row r="167" spans="2:15" x14ac:dyDescent="0.55000000000000004">
      <c r="B167" s="88">
        <v>162</v>
      </c>
      <c r="C167" s="98" t="str">
        <f t="shared" si="23"/>
        <v>Ita</v>
      </c>
      <c r="D167" s="98" t="str">
        <f t="shared" si="24"/>
        <v>フェーズ開始前</v>
      </c>
      <c r="E167" s="130" t="s">
        <v>20</v>
      </c>
      <c r="F167" s="106" t="s">
        <v>19</v>
      </c>
      <c r="G167" s="111" t="s">
        <v>4</v>
      </c>
      <c r="H167" s="112"/>
      <c r="I167" s="113"/>
      <c r="J167" s="106"/>
      <c r="K167" s="122" t="s">
        <v>64</v>
      </c>
      <c r="L167" s="113"/>
      <c r="M167" s="113"/>
      <c r="N167" s="100"/>
      <c r="O167" s="100"/>
    </row>
    <row r="168" spans="2:15" x14ac:dyDescent="0.55000000000000004">
      <c r="B168" s="88">
        <v>163</v>
      </c>
      <c r="C168" s="98" t="str">
        <f t="shared" si="23"/>
        <v>Ita</v>
      </c>
      <c r="D168" s="98" t="str">
        <f t="shared" si="24"/>
        <v>フェーズ開始前</v>
      </c>
      <c r="E168" s="134" t="str">
        <f>E167</f>
        <v>セッション</v>
      </c>
      <c r="F168" s="116" t="s">
        <v>18</v>
      </c>
      <c r="G168" s="117" t="s">
        <v>4</v>
      </c>
      <c r="H168" s="118"/>
      <c r="I168" s="119"/>
      <c r="J168" s="116"/>
      <c r="K168" s="122" t="s">
        <v>64</v>
      </c>
      <c r="L168" s="119"/>
      <c r="M168" s="119"/>
      <c r="N168" s="100"/>
      <c r="O168" s="100"/>
    </row>
    <row r="169" spans="2:15" x14ac:dyDescent="0.55000000000000004">
      <c r="B169" s="88">
        <v>164</v>
      </c>
      <c r="C169" s="98" t="str">
        <f t="shared" si="23"/>
        <v>Ita</v>
      </c>
      <c r="D169" s="98" t="str">
        <f t="shared" si="24"/>
        <v>フェーズ開始前</v>
      </c>
      <c r="E169" s="134" t="str">
        <f>E168</f>
        <v>セッション</v>
      </c>
      <c r="F169" s="116" t="s">
        <v>17</v>
      </c>
      <c r="G169" s="117" t="s">
        <v>4</v>
      </c>
      <c r="H169" s="118"/>
      <c r="I169" s="119"/>
      <c r="J169" s="116"/>
      <c r="K169" s="122" t="s">
        <v>64</v>
      </c>
      <c r="L169" s="119"/>
      <c r="M169" s="119"/>
      <c r="N169" s="100"/>
      <c r="O169" s="100"/>
    </row>
    <row r="170" spans="2:15" x14ac:dyDescent="0.55000000000000004">
      <c r="B170" s="88">
        <v>165</v>
      </c>
      <c r="C170" s="98" t="str">
        <f t="shared" si="23"/>
        <v>Ita</v>
      </c>
      <c r="D170" s="98" t="str">
        <f t="shared" si="24"/>
        <v>フェーズ開始前</v>
      </c>
      <c r="E170" s="135" t="str">
        <f>E169</f>
        <v>セッション</v>
      </c>
      <c r="F170" s="121" t="s">
        <v>166</v>
      </c>
      <c r="G170" s="122" t="s">
        <v>4</v>
      </c>
      <c r="H170" s="123"/>
      <c r="I170" s="124"/>
      <c r="J170" s="121"/>
      <c r="K170" s="122" t="s">
        <v>64</v>
      </c>
      <c r="L170" s="124"/>
      <c r="M170" s="124"/>
      <c r="N170" s="100"/>
      <c r="O170" s="100"/>
    </row>
    <row r="171" spans="2:15" x14ac:dyDescent="0.55000000000000004">
      <c r="B171" s="88">
        <v>166</v>
      </c>
      <c r="C171" s="98" t="str">
        <f t="shared" si="23"/>
        <v>Ita</v>
      </c>
      <c r="D171" s="98" t="str">
        <f t="shared" si="24"/>
        <v>フェーズ開始前</v>
      </c>
      <c r="E171" s="136" t="s">
        <v>15</v>
      </c>
      <c r="F171" s="95" t="s">
        <v>147</v>
      </c>
      <c r="G171" s="93" t="s">
        <v>4</v>
      </c>
      <c r="H171" s="94"/>
      <c r="I171" s="88"/>
      <c r="J171" s="95"/>
      <c r="K171" s="122" t="s">
        <v>64</v>
      </c>
      <c r="L171" s="88"/>
      <c r="M171" s="88"/>
      <c r="N171" s="100"/>
      <c r="O171" s="100"/>
    </row>
    <row r="172" spans="2:15" x14ac:dyDescent="0.55000000000000004">
      <c r="B172" s="88">
        <v>167</v>
      </c>
      <c r="C172" s="98" t="str">
        <f>C171</f>
        <v>Ita</v>
      </c>
      <c r="D172" s="91" t="s">
        <v>13</v>
      </c>
      <c r="E172" s="91" t="s">
        <v>12</v>
      </c>
      <c r="F172" s="106" t="s">
        <v>30</v>
      </c>
      <c r="G172" s="111" t="s">
        <v>4</v>
      </c>
      <c r="H172" s="112"/>
      <c r="I172" s="113"/>
      <c r="J172" s="106"/>
      <c r="K172" s="122" t="s">
        <v>64</v>
      </c>
      <c r="L172" s="113"/>
      <c r="M172" s="113"/>
      <c r="N172" s="100"/>
      <c r="O172" s="100"/>
    </row>
    <row r="173" spans="2:15" x14ac:dyDescent="0.55000000000000004">
      <c r="B173" s="88">
        <v>168</v>
      </c>
      <c r="C173" s="98" t="str">
        <f>C172</f>
        <v>Ita</v>
      </c>
      <c r="D173" s="98" t="str">
        <f>D172</f>
        <v>フェーズ終了時</v>
      </c>
      <c r="E173" s="135" t="str">
        <f>E172</f>
        <v>テスト観点</v>
      </c>
      <c r="F173" s="121" t="s">
        <v>103</v>
      </c>
      <c r="G173" s="122" t="s">
        <v>4</v>
      </c>
      <c r="H173" s="123"/>
      <c r="I173" s="124"/>
      <c r="J173" s="121"/>
      <c r="K173" s="122" t="s">
        <v>64</v>
      </c>
      <c r="L173" s="124"/>
      <c r="M173" s="124"/>
      <c r="N173" s="100"/>
      <c r="O173" s="100"/>
    </row>
    <row r="174" spans="2:15" x14ac:dyDescent="0.55000000000000004">
      <c r="B174" s="88">
        <v>169</v>
      </c>
      <c r="C174" s="98" t="str">
        <f>C173</f>
        <v>Ita</v>
      </c>
      <c r="D174" s="98" t="str">
        <f>D173</f>
        <v>フェーズ終了時</v>
      </c>
      <c r="E174" s="89" t="s">
        <v>10</v>
      </c>
      <c r="F174" s="95" t="s">
        <v>9</v>
      </c>
      <c r="G174" s="93" t="s">
        <v>4</v>
      </c>
      <c r="H174" s="94"/>
      <c r="I174" s="88"/>
      <c r="J174" s="95"/>
      <c r="K174" s="122" t="s">
        <v>64</v>
      </c>
      <c r="L174" s="88"/>
      <c r="M174" s="88"/>
      <c r="N174" s="100"/>
      <c r="O174" s="100"/>
    </row>
    <row r="175" spans="2:15" x14ac:dyDescent="0.55000000000000004">
      <c r="B175" s="88">
        <v>170</v>
      </c>
      <c r="C175" s="98" t="str">
        <f>C174</f>
        <v>Ita</v>
      </c>
      <c r="D175" s="98" t="str">
        <f>D174</f>
        <v>フェーズ終了時</v>
      </c>
      <c r="E175" s="136" t="s">
        <v>8</v>
      </c>
      <c r="F175" s="95" t="s">
        <v>29</v>
      </c>
      <c r="G175" s="93" t="s">
        <v>4</v>
      </c>
      <c r="H175" s="94"/>
      <c r="I175" s="88"/>
      <c r="J175" s="95"/>
      <c r="K175" s="122" t="s">
        <v>64</v>
      </c>
      <c r="L175" s="88"/>
      <c r="M175" s="88"/>
      <c r="N175" s="100"/>
      <c r="O175" s="100"/>
    </row>
    <row r="176" spans="2:15" x14ac:dyDescent="0.55000000000000004">
      <c r="B176" s="88">
        <v>171</v>
      </c>
      <c r="C176" s="91" t="s">
        <v>28</v>
      </c>
      <c r="D176" s="91" t="s">
        <v>6</v>
      </c>
      <c r="E176" s="89" t="s">
        <v>27</v>
      </c>
      <c r="F176" s="95" t="s">
        <v>26</v>
      </c>
      <c r="G176" s="93" t="s">
        <v>4</v>
      </c>
      <c r="H176" s="94"/>
      <c r="I176" s="88"/>
      <c r="J176" s="95"/>
      <c r="K176" s="122" t="s">
        <v>64</v>
      </c>
      <c r="L176" s="88"/>
      <c r="M176" s="88"/>
      <c r="N176" s="100"/>
      <c r="O176" s="100"/>
    </row>
    <row r="177" spans="2:15" x14ac:dyDescent="0.55000000000000004">
      <c r="B177" s="88">
        <v>172</v>
      </c>
      <c r="C177" s="98" t="str">
        <f t="shared" ref="C177:C186" si="25">C176</f>
        <v>Itb</v>
      </c>
      <c r="D177" s="98" t="str">
        <f t="shared" ref="D177:D186" si="26">D176</f>
        <v>フェーズ開始前</v>
      </c>
      <c r="E177" s="130" t="s">
        <v>25</v>
      </c>
      <c r="F177" s="95" t="s">
        <v>24</v>
      </c>
      <c r="G177" s="93" t="s">
        <v>4</v>
      </c>
      <c r="H177" s="94"/>
      <c r="I177" s="88"/>
      <c r="J177" s="95"/>
      <c r="K177" s="122" t="s">
        <v>64</v>
      </c>
      <c r="L177" s="88"/>
      <c r="M177" s="88"/>
      <c r="N177" s="100"/>
      <c r="O177" s="100"/>
    </row>
    <row r="178" spans="2:15" x14ac:dyDescent="0.55000000000000004">
      <c r="B178" s="88">
        <v>173</v>
      </c>
      <c r="C178" s="98" t="str">
        <f t="shared" si="25"/>
        <v>Itb</v>
      </c>
      <c r="D178" s="98" t="str">
        <f t="shared" si="26"/>
        <v>フェーズ開始前</v>
      </c>
      <c r="E178" s="91" t="s">
        <v>23</v>
      </c>
      <c r="F178" s="106" t="s">
        <v>22</v>
      </c>
      <c r="G178" s="111" t="s">
        <v>4</v>
      </c>
      <c r="H178" s="112"/>
      <c r="I178" s="113"/>
      <c r="J178" s="106"/>
      <c r="K178" s="122" t="s">
        <v>64</v>
      </c>
      <c r="L178" s="113"/>
      <c r="M178" s="113"/>
      <c r="N178" s="100"/>
      <c r="O178" s="100"/>
    </row>
    <row r="179" spans="2:15" x14ac:dyDescent="0.55000000000000004">
      <c r="B179" s="88">
        <v>174</v>
      </c>
      <c r="C179" s="98" t="str">
        <f t="shared" si="25"/>
        <v>Itb</v>
      </c>
      <c r="D179" s="98" t="str">
        <f t="shared" si="26"/>
        <v>フェーズ開始前</v>
      </c>
      <c r="E179" s="134" t="str">
        <f>E178</f>
        <v>スケジュール</v>
      </c>
      <c r="F179" s="116" t="s">
        <v>21</v>
      </c>
      <c r="G179" s="117" t="s">
        <v>4</v>
      </c>
      <c r="H179" s="118"/>
      <c r="I179" s="119"/>
      <c r="J179" s="116"/>
      <c r="K179" s="122" t="s">
        <v>64</v>
      </c>
      <c r="L179" s="119"/>
      <c r="M179" s="119"/>
      <c r="N179" s="100"/>
      <c r="O179" s="100"/>
    </row>
    <row r="180" spans="2:15" ht="36" x14ac:dyDescent="0.55000000000000004">
      <c r="B180" s="88">
        <v>175</v>
      </c>
      <c r="C180" s="98" t="str">
        <f t="shared" si="25"/>
        <v>Itb</v>
      </c>
      <c r="D180" s="98" t="str">
        <f t="shared" si="26"/>
        <v>フェーズ開始前</v>
      </c>
      <c r="E180" s="135" t="str">
        <f>E179</f>
        <v>スケジュール</v>
      </c>
      <c r="F180" s="121" t="s">
        <v>135</v>
      </c>
      <c r="G180" s="122" t="s">
        <v>4</v>
      </c>
      <c r="H180" s="123"/>
      <c r="I180" s="124"/>
      <c r="J180" s="121"/>
      <c r="K180" s="122" t="s">
        <v>64</v>
      </c>
      <c r="L180" s="124"/>
      <c r="M180" s="124"/>
      <c r="N180" s="100"/>
      <c r="O180" s="100"/>
    </row>
    <row r="181" spans="2:15" x14ac:dyDescent="0.55000000000000004">
      <c r="B181" s="88">
        <v>176</v>
      </c>
      <c r="C181" s="98" t="str">
        <f t="shared" si="25"/>
        <v>Itb</v>
      </c>
      <c r="D181" s="98" t="str">
        <f t="shared" si="26"/>
        <v>フェーズ開始前</v>
      </c>
      <c r="E181" s="130" t="s">
        <v>20</v>
      </c>
      <c r="F181" s="106" t="s">
        <v>19</v>
      </c>
      <c r="G181" s="111" t="s">
        <v>4</v>
      </c>
      <c r="H181" s="112"/>
      <c r="I181" s="113"/>
      <c r="J181" s="106"/>
      <c r="K181" s="122" t="s">
        <v>64</v>
      </c>
      <c r="L181" s="113"/>
      <c r="M181" s="113"/>
      <c r="N181" s="100"/>
      <c r="O181" s="100"/>
    </row>
    <row r="182" spans="2:15" x14ac:dyDescent="0.55000000000000004">
      <c r="B182" s="88">
        <v>177</v>
      </c>
      <c r="C182" s="98" t="str">
        <f t="shared" si="25"/>
        <v>Itb</v>
      </c>
      <c r="D182" s="98" t="str">
        <f t="shared" si="26"/>
        <v>フェーズ開始前</v>
      </c>
      <c r="E182" s="134" t="str">
        <f>E181</f>
        <v>セッション</v>
      </c>
      <c r="F182" s="116" t="s">
        <v>18</v>
      </c>
      <c r="G182" s="117" t="s">
        <v>4</v>
      </c>
      <c r="H182" s="118"/>
      <c r="I182" s="119"/>
      <c r="J182" s="116"/>
      <c r="K182" s="122" t="s">
        <v>64</v>
      </c>
      <c r="L182" s="119"/>
      <c r="M182" s="119"/>
      <c r="N182" s="100"/>
      <c r="O182" s="100"/>
    </row>
    <row r="183" spans="2:15" x14ac:dyDescent="0.55000000000000004">
      <c r="B183" s="88">
        <v>178</v>
      </c>
      <c r="C183" s="98" t="str">
        <f t="shared" si="25"/>
        <v>Itb</v>
      </c>
      <c r="D183" s="98" t="str">
        <f t="shared" si="26"/>
        <v>フェーズ開始前</v>
      </c>
      <c r="E183" s="134" t="str">
        <f>E182</f>
        <v>セッション</v>
      </c>
      <c r="F183" s="116" t="s">
        <v>17</v>
      </c>
      <c r="G183" s="117" t="s">
        <v>4</v>
      </c>
      <c r="H183" s="118"/>
      <c r="I183" s="119"/>
      <c r="J183" s="116"/>
      <c r="K183" s="122" t="s">
        <v>64</v>
      </c>
      <c r="L183" s="119"/>
      <c r="M183" s="119"/>
      <c r="N183" s="100"/>
      <c r="O183" s="100"/>
    </row>
    <row r="184" spans="2:15" x14ac:dyDescent="0.55000000000000004">
      <c r="B184" s="88">
        <v>179</v>
      </c>
      <c r="C184" s="98" t="str">
        <f t="shared" si="25"/>
        <v>Itb</v>
      </c>
      <c r="D184" s="98" t="str">
        <f t="shared" si="26"/>
        <v>フェーズ開始前</v>
      </c>
      <c r="E184" s="135" t="str">
        <f>E183</f>
        <v>セッション</v>
      </c>
      <c r="F184" s="121" t="s">
        <v>166</v>
      </c>
      <c r="G184" s="122" t="s">
        <v>4</v>
      </c>
      <c r="H184" s="123"/>
      <c r="I184" s="124"/>
      <c r="J184" s="121"/>
      <c r="K184" s="122" t="s">
        <v>64</v>
      </c>
      <c r="L184" s="124"/>
      <c r="M184" s="124"/>
      <c r="N184" s="100"/>
      <c r="O184" s="100"/>
    </row>
    <row r="185" spans="2:15" x14ac:dyDescent="0.55000000000000004">
      <c r="B185" s="88">
        <v>180</v>
      </c>
      <c r="C185" s="98" t="str">
        <f t="shared" si="25"/>
        <v>Itb</v>
      </c>
      <c r="D185" s="98" t="str">
        <f t="shared" si="26"/>
        <v>フェーズ開始前</v>
      </c>
      <c r="E185" s="130" t="s">
        <v>313</v>
      </c>
      <c r="F185" s="106" t="s">
        <v>101</v>
      </c>
      <c r="G185" s="111" t="s">
        <v>4</v>
      </c>
      <c r="H185" s="112"/>
      <c r="I185" s="113"/>
      <c r="J185" s="106"/>
      <c r="K185" s="122" t="s">
        <v>64</v>
      </c>
      <c r="L185" s="113"/>
      <c r="M185" s="113"/>
      <c r="N185" s="100"/>
      <c r="O185" s="100"/>
    </row>
    <row r="186" spans="2:15" x14ac:dyDescent="0.55000000000000004">
      <c r="B186" s="88">
        <v>181</v>
      </c>
      <c r="C186" s="98" t="str">
        <f t="shared" si="25"/>
        <v>Itb</v>
      </c>
      <c r="D186" s="98" t="str">
        <f t="shared" si="26"/>
        <v>フェーズ開始前</v>
      </c>
      <c r="E186" s="134" t="str">
        <f>E185</f>
        <v>先の工程に向けた準備</v>
      </c>
      <c r="F186" s="121" t="s">
        <v>102</v>
      </c>
      <c r="G186" s="122" t="s">
        <v>4</v>
      </c>
      <c r="H186" s="123"/>
      <c r="I186" s="124"/>
      <c r="J186" s="121"/>
      <c r="K186" s="122" t="s">
        <v>64</v>
      </c>
      <c r="L186" s="124"/>
      <c r="M186" s="124"/>
      <c r="N186" s="100"/>
      <c r="O186" s="100"/>
    </row>
    <row r="187" spans="2:15" x14ac:dyDescent="0.55000000000000004">
      <c r="B187" s="88">
        <v>182</v>
      </c>
      <c r="C187" s="98" t="str">
        <f t="shared" ref="C187:C202" si="27">C186</f>
        <v>Itb</v>
      </c>
      <c r="D187" s="91" t="s">
        <v>13</v>
      </c>
      <c r="E187" s="91" t="s">
        <v>12</v>
      </c>
      <c r="F187" s="95" t="s">
        <v>71</v>
      </c>
      <c r="G187" s="93" t="s">
        <v>4</v>
      </c>
      <c r="H187" s="94"/>
      <c r="I187" s="88"/>
      <c r="J187" s="95"/>
      <c r="K187" s="122" t="s">
        <v>64</v>
      </c>
      <c r="L187" s="88"/>
      <c r="M187" s="88"/>
      <c r="N187" s="100"/>
      <c r="O187" s="100"/>
    </row>
    <row r="188" spans="2:15" x14ac:dyDescent="0.55000000000000004">
      <c r="B188" s="88">
        <v>183</v>
      </c>
      <c r="C188" s="98" t="str">
        <f t="shared" si="27"/>
        <v>Itb</v>
      </c>
      <c r="D188" s="98" t="str">
        <f>D187</f>
        <v>フェーズ終了時</v>
      </c>
      <c r="E188" s="135" t="str">
        <f>E187</f>
        <v>テスト観点</v>
      </c>
      <c r="F188" s="95" t="s">
        <v>103</v>
      </c>
      <c r="G188" s="93" t="s">
        <v>4</v>
      </c>
      <c r="H188" s="94"/>
      <c r="I188" s="88"/>
      <c r="J188" s="95"/>
      <c r="K188" s="122" t="s">
        <v>64</v>
      </c>
      <c r="L188" s="88"/>
      <c r="M188" s="88"/>
      <c r="N188" s="100"/>
      <c r="O188" s="100"/>
    </row>
    <row r="189" spans="2:15" x14ac:dyDescent="0.55000000000000004">
      <c r="B189" s="88">
        <v>184</v>
      </c>
      <c r="C189" s="98" t="str">
        <f t="shared" si="27"/>
        <v>Itb</v>
      </c>
      <c r="D189" s="98" t="str">
        <f t="shared" ref="D189:D202" si="28">D188</f>
        <v>フェーズ終了時</v>
      </c>
      <c r="E189" s="89" t="s">
        <v>10</v>
      </c>
      <c r="F189" s="95" t="s">
        <v>9</v>
      </c>
      <c r="G189" s="93" t="s">
        <v>4</v>
      </c>
      <c r="H189" s="94"/>
      <c r="I189" s="88"/>
      <c r="J189" s="95"/>
      <c r="K189" s="122" t="s">
        <v>64</v>
      </c>
      <c r="L189" s="88"/>
      <c r="M189" s="88"/>
      <c r="N189" s="100"/>
      <c r="O189" s="100"/>
    </row>
    <row r="190" spans="2:15" x14ac:dyDescent="0.55000000000000004">
      <c r="B190" s="88">
        <v>185</v>
      </c>
      <c r="C190" s="98" t="str">
        <f t="shared" si="27"/>
        <v>Itb</v>
      </c>
      <c r="D190" s="98" t="str">
        <f t="shared" si="28"/>
        <v>フェーズ終了時</v>
      </c>
      <c r="E190" s="136" t="s">
        <v>8</v>
      </c>
      <c r="F190" s="95" t="s">
        <v>7</v>
      </c>
      <c r="G190" s="93" t="s">
        <v>4</v>
      </c>
      <c r="H190" s="94"/>
      <c r="I190" s="88"/>
      <c r="J190" s="95"/>
      <c r="K190" s="122" t="s">
        <v>64</v>
      </c>
      <c r="L190" s="88"/>
      <c r="M190" s="88"/>
      <c r="N190" s="100"/>
      <c r="O190" s="100"/>
    </row>
    <row r="191" spans="2:15" x14ac:dyDescent="0.55000000000000004">
      <c r="B191" s="88">
        <v>186</v>
      </c>
      <c r="C191" s="98" t="str">
        <f t="shared" si="27"/>
        <v>Itb</v>
      </c>
      <c r="D191" s="98" t="str">
        <f t="shared" si="28"/>
        <v>フェーズ終了時</v>
      </c>
      <c r="E191" s="130" t="s">
        <v>313</v>
      </c>
      <c r="F191" s="106" t="s">
        <v>100</v>
      </c>
      <c r="G191" s="111" t="s">
        <v>4</v>
      </c>
      <c r="H191" s="112"/>
      <c r="I191" s="113"/>
      <c r="J191" s="106"/>
      <c r="K191" s="122" t="s">
        <v>64</v>
      </c>
      <c r="L191" s="113"/>
      <c r="M191" s="113"/>
      <c r="N191" s="100"/>
      <c r="O191" s="100"/>
    </row>
    <row r="192" spans="2:15" x14ac:dyDescent="0.55000000000000004">
      <c r="B192" s="88">
        <v>187</v>
      </c>
      <c r="C192" s="98" t="str">
        <f t="shared" si="27"/>
        <v>Itb</v>
      </c>
      <c r="D192" s="98" t="str">
        <f t="shared" si="28"/>
        <v>フェーズ終了時</v>
      </c>
      <c r="E192" s="134" t="str">
        <f>E191</f>
        <v>先の工程に向けた準備</v>
      </c>
      <c r="F192" s="116" t="s">
        <v>97</v>
      </c>
      <c r="G192" s="117" t="s">
        <v>4</v>
      </c>
      <c r="H192" s="118"/>
      <c r="I192" s="119"/>
      <c r="J192" s="116"/>
      <c r="K192" s="122" t="s">
        <v>64</v>
      </c>
      <c r="L192" s="119"/>
      <c r="M192" s="119"/>
      <c r="N192" s="100"/>
      <c r="O192" s="100"/>
    </row>
    <row r="193" spans="2:15" x14ac:dyDescent="0.55000000000000004">
      <c r="B193" s="88">
        <v>188</v>
      </c>
      <c r="C193" s="98" t="str">
        <f t="shared" si="27"/>
        <v>Itb</v>
      </c>
      <c r="D193" s="98" t="str">
        <f t="shared" si="28"/>
        <v>フェーズ終了時</v>
      </c>
      <c r="E193" s="134" t="str">
        <f>E192</f>
        <v>先の工程に向けた準備</v>
      </c>
      <c r="F193" s="116" t="s">
        <v>98</v>
      </c>
      <c r="G193" s="117" t="s">
        <v>4</v>
      </c>
      <c r="H193" s="118"/>
      <c r="I193" s="119"/>
      <c r="J193" s="116"/>
      <c r="K193" s="122" t="s">
        <v>64</v>
      </c>
      <c r="L193" s="119"/>
      <c r="M193" s="119"/>
      <c r="N193" s="100"/>
      <c r="O193" s="100"/>
    </row>
    <row r="194" spans="2:15" x14ac:dyDescent="0.55000000000000004">
      <c r="B194" s="88">
        <v>189</v>
      </c>
      <c r="C194" s="98" t="str">
        <f t="shared" si="27"/>
        <v>Itb</v>
      </c>
      <c r="D194" s="98" t="str">
        <f t="shared" si="28"/>
        <v>フェーズ終了時</v>
      </c>
      <c r="E194" s="134" t="str">
        <f>E193</f>
        <v>先の工程に向けた準備</v>
      </c>
      <c r="F194" s="116" t="s">
        <v>99</v>
      </c>
      <c r="G194" s="117" t="s">
        <v>4</v>
      </c>
      <c r="H194" s="118"/>
      <c r="I194" s="119"/>
      <c r="J194" s="116"/>
      <c r="K194" s="122" t="s">
        <v>64</v>
      </c>
      <c r="L194" s="119"/>
      <c r="M194" s="119"/>
      <c r="N194" s="100"/>
      <c r="O194" s="100"/>
    </row>
    <row r="195" spans="2:15" ht="36" x14ac:dyDescent="0.55000000000000004">
      <c r="B195" s="88">
        <v>190</v>
      </c>
      <c r="C195" s="98" t="str">
        <f t="shared" si="27"/>
        <v>Itb</v>
      </c>
      <c r="D195" s="98" t="str">
        <f t="shared" si="28"/>
        <v>フェーズ終了時</v>
      </c>
      <c r="E195" s="134" t="str">
        <f>E194</f>
        <v>先の工程に向けた準備</v>
      </c>
      <c r="F195" s="116" t="s">
        <v>104</v>
      </c>
      <c r="G195" s="117" t="s">
        <v>4</v>
      </c>
      <c r="H195" s="118"/>
      <c r="I195" s="119"/>
      <c r="J195" s="116"/>
      <c r="K195" s="122" t="s">
        <v>64</v>
      </c>
      <c r="L195" s="119"/>
      <c r="M195" s="119"/>
      <c r="N195" s="100"/>
      <c r="O195" s="100"/>
    </row>
    <row r="196" spans="2:15" x14ac:dyDescent="0.55000000000000004">
      <c r="B196" s="88">
        <v>191</v>
      </c>
      <c r="C196" s="98" t="str">
        <f t="shared" si="27"/>
        <v>Itb</v>
      </c>
      <c r="D196" s="98" t="str">
        <f t="shared" si="28"/>
        <v>フェーズ終了時</v>
      </c>
      <c r="E196" s="135" t="str">
        <f>E195</f>
        <v>先の工程に向けた準備</v>
      </c>
      <c r="F196" s="121" t="s">
        <v>96</v>
      </c>
      <c r="G196" s="122" t="s">
        <v>4</v>
      </c>
      <c r="H196" s="123"/>
      <c r="I196" s="124"/>
      <c r="J196" s="121"/>
      <c r="K196" s="122" t="s">
        <v>64</v>
      </c>
      <c r="L196" s="124"/>
      <c r="M196" s="124"/>
      <c r="N196" s="100"/>
      <c r="O196" s="100"/>
    </row>
    <row r="197" spans="2:15" ht="36" x14ac:dyDescent="0.55000000000000004">
      <c r="B197" s="88">
        <v>192</v>
      </c>
      <c r="C197" s="98" t="str">
        <f t="shared" si="27"/>
        <v>Itb</v>
      </c>
      <c r="D197" s="98" t="str">
        <f t="shared" si="28"/>
        <v>フェーズ終了時</v>
      </c>
      <c r="E197" s="91" t="s">
        <v>65</v>
      </c>
      <c r="F197" s="106" t="s">
        <v>66</v>
      </c>
      <c r="G197" s="111" t="s">
        <v>4</v>
      </c>
      <c r="H197" s="112"/>
      <c r="I197" s="113"/>
      <c r="J197" s="106"/>
      <c r="K197" s="122" t="s">
        <v>64</v>
      </c>
      <c r="L197" s="113"/>
      <c r="M197" s="113"/>
      <c r="N197" s="100"/>
      <c r="O197" s="100"/>
    </row>
    <row r="198" spans="2:15" ht="36" x14ac:dyDescent="0.55000000000000004">
      <c r="B198" s="88">
        <v>193</v>
      </c>
      <c r="C198" s="98" t="str">
        <f t="shared" si="27"/>
        <v>Itb</v>
      </c>
      <c r="D198" s="98" t="str">
        <f t="shared" si="28"/>
        <v>フェーズ終了時</v>
      </c>
      <c r="E198" s="134" t="str">
        <f>E197</f>
        <v>DDL変更</v>
      </c>
      <c r="F198" s="116" t="s">
        <v>217</v>
      </c>
      <c r="G198" s="117" t="s">
        <v>4</v>
      </c>
      <c r="H198" s="118"/>
      <c r="I198" s="119"/>
      <c r="J198" s="116"/>
      <c r="K198" s="122" t="s">
        <v>64</v>
      </c>
      <c r="L198" s="119"/>
      <c r="M198" s="119"/>
      <c r="N198" s="100"/>
      <c r="O198" s="100"/>
    </row>
    <row r="199" spans="2:15" ht="36" x14ac:dyDescent="0.55000000000000004">
      <c r="B199" s="88">
        <v>194</v>
      </c>
      <c r="C199" s="98" t="str">
        <f t="shared" si="27"/>
        <v>Itb</v>
      </c>
      <c r="D199" s="98" t="str">
        <f t="shared" si="28"/>
        <v>フェーズ終了時</v>
      </c>
      <c r="E199" s="134" t="str">
        <f>E198</f>
        <v>DDL変更</v>
      </c>
      <c r="F199" s="116" t="s">
        <v>219</v>
      </c>
      <c r="G199" s="117" t="s">
        <v>4</v>
      </c>
      <c r="H199" s="118"/>
      <c r="I199" s="119"/>
      <c r="J199" s="116"/>
      <c r="K199" s="122" t="s">
        <v>64</v>
      </c>
      <c r="L199" s="119"/>
      <c r="M199" s="119"/>
      <c r="N199" s="100"/>
      <c r="O199" s="100"/>
    </row>
    <row r="200" spans="2:15" ht="36" x14ac:dyDescent="0.55000000000000004">
      <c r="B200" s="88">
        <v>195</v>
      </c>
      <c r="C200" s="98" t="str">
        <f t="shared" si="27"/>
        <v>Itb</v>
      </c>
      <c r="D200" s="98" t="str">
        <f t="shared" si="28"/>
        <v>フェーズ終了時</v>
      </c>
      <c r="E200" s="134" t="str">
        <f>E199</f>
        <v>DDL変更</v>
      </c>
      <c r="F200" s="116" t="s">
        <v>72</v>
      </c>
      <c r="G200" s="117" t="s">
        <v>4</v>
      </c>
      <c r="H200" s="118"/>
      <c r="I200" s="119"/>
      <c r="J200" s="116"/>
      <c r="K200" s="122" t="s">
        <v>64</v>
      </c>
      <c r="L200" s="119"/>
      <c r="M200" s="119"/>
      <c r="N200" s="100"/>
      <c r="O200" s="100"/>
    </row>
    <row r="201" spans="2:15" ht="36" x14ac:dyDescent="0.55000000000000004">
      <c r="B201" s="88">
        <v>196</v>
      </c>
      <c r="C201" s="98" t="str">
        <f t="shared" si="27"/>
        <v>Itb</v>
      </c>
      <c r="D201" s="98" t="str">
        <f t="shared" si="28"/>
        <v>フェーズ終了時</v>
      </c>
      <c r="E201" s="134" t="str">
        <f>E200</f>
        <v>DDL変更</v>
      </c>
      <c r="F201" s="121" t="s">
        <v>108</v>
      </c>
      <c r="G201" s="122" t="s">
        <v>4</v>
      </c>
      <c r="H201" s="123"/>
      <c r="I201" s="124"/>
      <c r="J201" s="121"/>
      <c r="K201" s="122" t="s">
        <v>64</v>
      </c>
      <c r="L201" s="124"/>
      <c r="M201" s="124"/>
      <c r="N201" s="100"/>
      <c r="O201" s="100"/>
    </row>
    <row r="202" spans="2:15" x14ac:dyDescent="0.55000000000000004">
      <c r="B202" s="88">
        <v>197</v>
      </c>
      <c r="C202" s="98" t="str">
        <f t="shared" si="27"/>
        <v>Itb</v>
      </c>
      <c r="D202" s="98" t="str">
        <f t="shared" si="28"/>
        <v>フェーズ終了時</v>
      </c>
      <c r="E202" s="89" t="s">
        <v>222</v>
      </c>
      <c r="F202" s="157" t="s">
        <v>172</v>
      </c>
      <c r="G202" s="122" t="s">
        <v>4</v>
      </c>
      <c r="H202" s="158"/>
      <c r="I202" s="159"/>
      <c r="J202" s="157"/>
      <c r="K202" s="122" t="s">
        <v>64</v>
      </c>
      <c r="L202" s="159"/>
      <c r="M202" s="159"/>
      <c r="N202" s="100"/>
      <c r="O202" s="100"/>
    </row>
    <row r="203" spans="2:15" ht="108" x14ac:dyDescent="0.55000000000000004">
      <c r="B203" s="88">
        <v>198</v>
      </c>
      <c r="C203" s="151" t="s">
        <v>314</v>
      </c>
      <c r="D203" s="91" t="s">
        <v>224</v>
      </c>
      <c r="E203" s="91" t="s">
        <v>12</v>
      </c>
      <c r="F203" s="106" t="s">
        <v>107</v>
      </c>
      <c r="G203" s="111" t="s">
        <v>4</v>
      </c>
      <c r="H203" s="112"/>
      <c r="I203" s="113"/>
      <c r="J203" s="106"/>
      <c r="K203" s="122" t="s">
        <v>64</v>
      </c>
      <c r="L203" s="113"/>
      <c r="M203" s="113"/>
      <c r="N203" s="100"/>
      <c r="O203" s="100"/>
    </row>
    <row r="204" spans="2:15" x14ac:dyDescent="0.55000000000000004">
      <c r="B204" s="88">
        <v>199</v>
      </c>
      <c r="C204" s="133" t="str">
        <f>C203</f>
        <v>IT受入（UAT環境）</v>
      </c>
      <c r="D204" s="133" t="str">
        <f>D203</f>
        <v>フェーズ開始前</v>
      </c>
      <c r="E204" s="134" t="str">
        <f>E203</f>
        <v>テスト観点</v>
      </c>
      <c r="F204" s="121" t="s">
        <v>109</v>
      </c>
      <c r="G204" s="122" t="s">
        <v>4</v>
      </c>
      <c r="H204" s="123"/>
      <c r="I204" s="124"/>
      <c r="J204" s="121"/>
      <c r="K204" s="122" t="s">
        <v>64</v>
      </c>
      <c r="L204" s="124"/>
      <c r="M204" s="124"/>
      <c r="N204" s="100"/>
      <c r="O204" s="100"/>
    </row>
    <row r="205" spans="2:15" x14ac:dyDescent="0.55000000000000004">
      <c r="B205" s="88">
        <v>200</v>
      </c>
      <c r="C205" s="133" t="str">
        <f t="shared" ref="C205:C215" si="29">C204</f>
        <v>IT受入（UAT環境）</v>
      </c>
      <c r="D205" s="133" t="str">
        <f t="shared" ref="D205:D215" si="30">D204</f>
        <v>フェーズ開始前</v>
      </c>
      <c r="E205" s="89" t="s">
        <v>27</v>
      </c>
      <c r="F205" s="95" t="s">
        <v>26</v>
      </c>
      <c r="G205" s="93" t="s">
        <v>4</v>
      </c>
      <c r="H205" s="94"/>
      <c r="I205" s="88"/>
      <c r="J205" s="95"/>
      <c r="K205" s="122" t="s">
        <v>64</v>
      </c>
      <c r="L205" s="88"/>
      <c r="M205" s="88"/>
      <c r="N205" s="100"/>
      <c r="O205" s="100"/>
    </row>
    <row r="206" spans="2:15" x14ac:dyDescent="0.55000000000000004">
      <c r="B206" s="88">
        <v>201</v>
      </c>
      <c r="C206" s="133" t="str">
        <f t="shared" si="29"/>
        <v>IT受入（UAT環境）</v>
      </c>
      <c r="D206" s="133" t="str">
        <f t="shared" si="30"/>
        <v>フェーズ開始前</v>
      </c>
      <c r="E206" s="130" t="s">
        <v>25</v>
      </c>
      <c r="F206" s="95" t="s">
        <v>24</v>
      </c>
      <c r="G206" s="93" t="s">
        <v>4</v>
      </c>
      <c r="H206" s="94"/>
      <c r="I206" s="88"/>
      <c r="J206" s="95"/>
      <c r="K206" s="122" t="s">
        <v>64</v>
      </c>
      <c r="L206" s="88"/>
      <c r="M206" s="88"/>
      <c r="N206" s="100"/>
      <c r="O206" s="100"/>
    </row>
    <row r="207" spans="2:15" x14ac:dyDescent="0.55000000000000004">
      <c r="B207" s="88">
        <v>202</v>
      </c>
      <c r="C207" s="133" t="str">
        <f t="shared" si="29"/>
        <v>IT受入（UAT環境）</v>
      </c>
      <c r="D207" s="133" t="str">
        <f t="shared" si="30"/>
        <v>フェーズ開始前</v>
      </c>
      <c r="E207" s="91" t="s">
        <v>23</v>
      </c>
      <c r="F207" s="106" t="s">
        <v>22</v>
      </c>
      <c r="G207" s="111" t="s">
        <v>4</v>
      </c>
      <c r="H207" s="112"/>
      <c r="I207" s="113"/>
      <c r="J207" s="106"/>
      <c r="K207" s="122" t="s">
        <v>64</v>
      </c>
      <c r="L207" s="113"/>
      <c r="M207" s="113"/>
      <c r="N207" s="100"/>
      <c r="O207" s="100"/>
    </row>
    <row r="208" spans="2:15" x14ac:dyDescent="0.55000000000000004">
      <c r="B208" s="88">
        <v>203</v>
      </c>
      <c r="C208" s="133" t="str">
        <f t="shared" si="29"/>
        <v>IT受入（UAT環境）</v>
      </c>
      <c r="D208" s="133" t="str">
        <f t="shared" si="30"/>
        <v>フェーズ開始前</v>
      </c>
      <c r="E208" s="134" t="str">
        <f>E207</f>
        <v>スケジュール</v>
      </c>
      <c r="F208" s="116" t="s">
        <v>125</v>
      </c>
      <c r="G208" s="117" t="s">
        <v>4</v>
      </c>
      <c r="H208" s="118"/>
      <c r="I208" s="119"/>
      <c r="J208" s="116"/>
      <c r="K208" s="122" t="s">
        <v>64</v>
      </c>
      <c r="L208" s="119"/>
      <c r="M208" s="119"/>
      <c r="N208" s="100"/>
      <c r="O208" s="100"/>
    </row>
    <row r="209" spans="2:15" x14ac:dyDescent="0.55000000000000004">
      <c r="B209" s="88">
        <v>204</v>
      </c>
      <c r="C209" s="133" t="str">
        <f t="shared" si="29"/>
        <v>IT受入（UAT環境）</v>
      </c>
      <c r="D209" s="133" t="str">
        <f t="shared" si="30"/>
        <v>フェーズ開始前</v>
      </c>
      <c r="E209" s="135" t="str">
        <f>E208</f>
        <v>スケジュール</v>
      </c>
      <c r="F209" s="121" t="s">
        <v>5</v>
      </c>
      <c r="G209" s="122" t="s">
        <v>4</v>
      </c>
      <c r="H209" s="123"/>
      <c r="I209" s="124"/>
      <c r="J209" s="121"/>
      <c r="K209" s="122" t="s">
        <v>64</v>
      </c>
      <c r="L209" s="124"/>
      <c r="M209" s="124"/>
      <c r="N209" s="100"/>
      <c r="O209" s="100"/>
    </row>
    <row r="210" spans="2:15" x14ac:dyDescent="0.55000000000000004">
      <c r="B210" s="88">
        <v>205</v>
      </c>
      <c r="C210" s="133" t="str">
        <f t="shared" si="29"/>
        <v>IT受入（UAT環境）</v>
      </c>
      <c r="D210" s="133" t="str">
        <f t="shared" si="30"/>
        <v>フェーズ開始前</v>
      </c>
      <c r="E210" s="130" t="s">
        <v>20</v>
      </c>
      <c r="F210" s="106" t="s">
        <v>19</v>
      </c>
      <c r="G210" s="111" t="s">
        <v>4</v>
      </c>
      <c r="H210" s="112"/>
      <c r="I210" s="113"/>
      <c r="J210" s="106"/>
      <c r="K210" s="122" t="s">
        <v>64</v>
      </c>
      <c r="L210" s="113"/>
      <c r="M210" s="113"/>
      <c r="N210" s="100"/>
      <c r="O210" s="100"/>
    </row>
    <row r="211" spans="2:15" x14ac:dyDescent="0.55000000000000004">
      <c r="B211" s="88">
        <v>206</v>
      </c>
      <c r="C211" s="133" t="str">
        <f t="shared" si="29"/>
        <v>IT受入（UAT環境）</v>
      </c>
      <c r="D211" s="133" t="str">
        <f t="shared" si="30"/>
        <v>フェーズ開始前</v>
      </c>
      <c r="E211" s="134" t="str">
        <f>E210</f>
        <v>セッション</v>
      </c>
      <c r="F211" s="116" t="s">
        <v>18</v>
      </c>
      <c r="G211" s="117" t="s">
        <v>4</v>
      </c>
      <c r="H211" s="118"/>
      <c r="I211" s="119"/>
      <c r="J211" s="116"/>
      <c r="K211" s="122" t="s">
        <v>64</v>
      </c>
      <c r="L211" s="119"/>
      <c r="M211" s="119"/>
      <c r="N211" s="100"/>
      <c r="O211" s="100"/>
    </row>
    <row r="212" spans="2:15" x14ac:dyDescent="0.55000000000000004">
      <c r="B212" s="88">
        <v>207</v>
      </c>
      <c r="C212" s="133" t="str">
        <f t="shared" si="29"/>
        <v>IT受入（UAT環境）</v>
      </c>
      <c r="D212" s="133" t="str">
        <f t="shared" si="30"/>
        <v>フェーズ開始前</v>
      </c>
      <c r="E212" s="134" t="str">
        <f>E211</f>
        <v>セッション</v>
      </c>
      <c r="F212" s="116" t="s">
        <v>17</v>
      </c>
      <c r="G212" s="117" t="s">
        <v>4</v>
      </c>
      <c r="H212" s="118"/>
      <c r="I212" s="119"/>
      <c r="J212" s="116"/>
      <c r="K212" s="122" t="s">
        <v>64</v>
      </c>
      <c r="L212" s="119"/>
      <c r="M212" s="119"/>
      <c r="N212" s="100"/>
      <c r="O212" s="100"/>
    </row>
    <row r="213" spans="2:15" x14ac:dyDescent="0.55000000000000004">
      <c r="B213" s="88">
        <v>208</v>
      </c>
      <c r="C213" s="133" t="str">
        <f t="shared" si="29"/>
        <v>IT受入（UAT環境）</v>
      </c>
      <c r="D213" s="133" t="str">
        <f t="shared" si="30"/>
        <v>フェーズ開始前</v>
      </c>
      <c r="E213" s="135" t="str">
        <f>E212</f>
        <v>セッション</v>
      </c>
      <c r="F213" s="121" t="s">
        <v>166</v>
      </c>
      <c r="G213" s="122" t="s">
        <v>4</v>
      </c>
      <c r="H213" s="123"/>
      <c r="I213" s="124"/>
      <c r="J213" s="121"/>
      <c r="K213" s="122" t="s">
        <v>64</v>
      </c>
      <c r="L213" s="124"/>
      <c r="M213" s="124"/>
      <c r="N213" s="100"/>
      <c r="O213" s="100"/>
    </row>
    <row r="214" spans="2:15" ht="36" x14ac:dyDescent="0.55000000000000004">
      <c r="B214" s="88">
        <v>209</v>
      </c>
      <c r="C214" s="133" t="str">
        <f t="shared" si="29"/>
        <v>IT受入（UAT環境）</v>
      </c>
      <c r="D214" s="133" t="str">
        <f t="shared" si="30"/>
        <v>フェーズ開始前</v>
      </c>
      <c r="E214" s="91" t="s">
        <v>16</v>
      </c>
      <c r="F214" s="106" t="s">
        <v>148</v>
      </c>
      <c r="G214" s="111" t="s">
        <v>4</v>
      </c>
      <c r="H214" s="112"/>
      <c r="I214" s="113"/>
      <c r="J214" s="106"/>
      <c r="K214" s="122" t="s">
        <v>64</v>
      </c>
      <c r="L214" s="113"/>
      <c r="M214" s="113"/>
      <c r="N214" s="100"/>
      <c r="O214" s="100"/>
    </row>
    <row r="215" spans="2:15" ht="90" x14ac:dyDescent="0.55000000000000004">
      <c r="B215" s="88">
        <v>210</v>
      </c>
      <c r="C215" s="133" t="str">
        <f t="shared" si="29"/>
        <v>IT受入（UAT環境）</v>
      </c>
      <c r="D215" s="133" t="str">
        <f t="shared" si="30"/>
        <v>フェーズ開始前</v>
      </c>
      <c r="E215" s="134" t="str">
        <f>E214</f>
        <v>受入テストの準備状況</v>
      </c>
      <c r="F215" s="121" t="s">
        <v>149</v>
      </c>
      <c r="G215" s="122" t="s">
        <v>4</v>
      </c>
      <c r="H215" s="123"/>
      <c r="I215" s="124"/>
      <c r="J215" s="121"/>
      <c r="K215" s="122" t="s">
        <v>64</v>
      </c>
      <c r="L215" s="124"/>
      <c r="M215" s="124"/>
      <c r="N215" s="100"/>
      <c r="O215" s="100"/>
    </row>
    <row r="216" spans="2:15" x14ac:dyDescent="0.55000000000000004">
      <c r="B216" s="88">
        <v>211</v>
      </c>
      <c r="C216" s="133" t="str">
        <f t="shared" ref="C216:C224" si="31">C215</f>
        <v>IT受入（UAT環境）</v>
      </c>
      <c r="D216" s="91" t="s">
        <v>13</v>
      </c>
      <c r="E216" s="91" t="s">
        <v>12</v>
      </c>
      <c r="F216" s="95" t="s">
        <v>110</v>
      </c>
      <c r="G216" s="93" t="s">
        <v>4</v>
      </c>
      <c r="H216" s="94"/>
      <c r="I216" s="88"/>
      <c r="J216" s="95"/>
      <c r="K216" s="122" t="s">
        <v>64</v>
      </c>
      <c r="L216" s="88"/>
      <c r="M216" s="88"/>
      <c r="N216" s="100"/>
      <c r="O216" s="100"/>
    </row>
    <row r="217" spans="2:15" x14ac:dyDescent="0.55000000000000004">
      <c r="B217" s="88">
        <v>212</v>
      </c>
      <c r="C217" s="133" t="str">
        <f t="shared" si="31"/>
        <v>IT受入（UAT環境）</v>
      </c>
      <c r="D217" s="98" t="str">
        <f t="shared" ref="D217:D224" si="32">D216</f>
        <v>フェーズ終了時</v>
      </c>
      <c r="E217" s="89" t="s">
        <v>10</v>
      </c>
      <c r="F217" s="95" t="s">
        <v>9</v>
      </c>
      <c r="G217" s="93" t="s">
        <v>4</v>
      </c>
      <c r="H217" s="94"/>
      <c r="I217" s="88"/>
      <c r="J217" s="95"/>
      <c r="K217" s="122" t="s">
        <v>64</v>
      </c>
      <c r="L217" s="88"/>
      <c r="M217" s="88"/>
      <c r="N217" s="100"/>
      <c r="O217" s="100"/>
    </row>
    <row r="218" spans="2:15" x14ac:dyDescent="0.55000000000000004">
      <c r="B218" s="88">
        <v>213</v>
      </c>
      <c r="C218" s="133" t="str">
        <f t="shared" si="31"/>
        <v>IT受入（UAT環境）</v>
      </c>
      <c r="D218" s="98" t="str">
        <f t="shared" si="32"/>
        <v>フェーズ終了時</v>
      </c>
      <c r="E218" s="136" t="s">
        <v>8</v>
      </c>
      <c r="F218" s="95" t="s">
        <v>7</v>
      </c>
      <c r="G218" s="93" t="s">
        <v>4</v>
      </c>
      <c r="H218" s="94"/>
      <c r="I218" s="88"/>
      <c r="J218" s="95"/>
      <c r="K218" s="122" t="s">
        <v>64</v>
      </c>
      <c r="L218" s="88"/>
      <c r="M218" s="88"/>
      <c r="N218" s="100"/>
      <c r="O218" s="100"/>
    </row>
    <row r="219" spans="2:15" ht="36" x14ac:dyDescent="0.55000000000000004">
      <c r="B219" s="88">
        <v>214</v>
      </c>
      <c r="C219" s="133" t="str">
        <f t="shared" si="31"/>
        <v>IT受入（UAT環境）</v>
      </c>
      <c r="D219" s="98" t="str">
        <f t="shared" si="32"/>
        <v>フェーズ終了時</v>
      </c>
      <c r="E219" s="136" t="s">
        <v>212</v>
      </c>
      <c r="F219" s="95" t="s">
        <v>225</v>
      </c>
      <c r="G219" s="93" t="s">
        <v>4</v>
      </c>
      <c r="H219" s="94"/>
      <c r="I219" s="88"/>
      <c r="J219" s="95"/>
      <c r="K219" s="122" t="s">
        <v>64</v>
      </c>
      <c r="L219" s="88"/>
      <c r="M219" s="88"/>
      <c r="N219" s="100"/>
      <c r="O219" s="100"/>
    </row>
    <row r="220" spans="2:15" ht="36" x14ac:dyDescent="0.55000000000000004">
      <c r="B220" s="88">
        <v>215</v>
      </c>
      <c r="C220" s="133" t="str">
        <f t="shared" si="31"/>
        <v>IT受入（UAT環境）</v>
      </c>
      <c r="D220" s="98" t="str">
        <f t="shared" si="32"/>
        <v>フェーズ終了時</v>
      </c>
      <c r="E220" s="130" t="s">
        <v>313</v>
      </c>
      <c r="F220" s="106" t="s">
        <v>111</v>
      </c>
      <c r="G220" s="111" t="s">
        <v>4</v>
      </c>
      <c r="H220" s="112"/>
      <c r="I220" s="113"/>
      <c r="J220" s="106"/>
      <c r="K220" s="122" t="s">
        <v>64</v>
      </c>
      <c r="L220" s="113"/>
      <c r="M220" s="113"/>
      <c r="N220" s="100"/>
      <c r="O220" s="100"/>
    </row>
    <row r="221" spans="2:15" ht="36" x14ac:dyDescent="0.55000000000000004">
      <c r="B221" s="88">
        <v>216</v>
      </c>
      <c r="C221" s="133" t="str">
        <f t="shared" si="31"/>
        <v>IT受入（UAT環境）</v>
      </c>
      <c r="D221" s="98" t="str">
        <f t="shared" si="32"/>
        <v>フェーズ終了時</v>
      </c>
      <c r="E221" s="134" t="str">
        <f>E220</f>
        <v>先の工程に向けた準備</v>
      </c>
      <c r="F221" s="116" t="s">
        <v>112</v>
      </c>
      <c r="G221" s="117" t="s">
        <v>4</v>
      </c>
      <c r="H221" s="118"/>
      <c r="I221" s="119"/>
      <c r="J221" s="116"/>
      <c r="K221" s="122" t="s">
        <v>64</v>
      </c>
      <c r="L221" s="119"/>
      <c r="M221" s="119"/>
      <c r="N221" s="100"/>
      <c r="O221" s="100"/>
    </row>
    <row r="222" spans="2:15" x14ac:dyDescent="0.55000000000000004">
      <c r="B222" s="88">
        <v>217</v>
      </c>
      <c r="C222" s="133" t="str">
        <f t="shared" si="31"/>
        <v>IT受入（UAT環境）</v>
      </c>
      <c r="D222" s="98" t="str">
        <f t="shared" si="32"/>
        <v>フェーズ終了時</v>
      </c>
      <c r="E222" s="134" t="str">
        <f>E221</f>
        <v>先の工程に向けた準備</v>
      </c>
      <c r="F222" s="116" t="s">
        <v>113</v>
      </c>
      <c r="G222" s="117" t="s">
        <v>4</v>
      </c>
      <c r="H222" s="118"/>
      <c r="I222" s="119"/>
      <c r="J222" s="116"/>
      <c r="K222" s="122" t="s">
        <v>64</v>
      </c>
      <c r="L222" s="119"/>
      <c r="M222" s="119"/>
      <c r="N222" s="100"/>
      <c r="O222" s="100"/>
    </row>
    <row r="223" spans="2:15" x14ac:dyDescent="0.55000000000000004">
      <c r="B223" s="88">
        <v>218</v>
      </c>
      <c r="C223" s="133" t="str">
        <f t="shared" si="31"/>
        <v>IT受入（UAT環境）</v>
      </c>
      <c r="D223" s="98" t="str">
        <f t="shared" si="32"/>
        <v>フェーズ終了時</v>
      </c>
      <c r="E223" s="89" t="s">
        <v>222</v>
      </c>
      <c r="F223" s="147" t="s">
        <v>173</v>
      </c>
      <c r="G223" s="117" t="s">
        <v>4</v>
      </c>
      <c r="H223" s="118"/>
      <c r="I223" s="119"/>
      <c r="J223" s="116"/>
      <c r="K223" s="122" t="s">
        <v>64</v>
      </c>
      <c r="L223" s="119"/>
      <c r="M223" s="119"/>
      <c r="N223" s="100"/>
      <c r="O223" s="100"/>
    </row>
    <row r="224" spans="2:15" ht="126" x14ac:dyDescent="0.55000000000000004">
      <c r="B224" s="88">
        <v>219</v>
      </c>
      <c r="C224" s="133" t="str">
        <f t="shared" si="31"/>
        <v>IT受入（UAT環境）</v>
      </c>
      <c r="D224" s="98" t="str">
        <f t="shared" si="32"/>
        <v>フェーズ終了時</v>
      </c>
      <c r="E224" s="89" t="s">
        <v>291</v>
      </c>
      <c r="F224" s="157" t="s">
        <v>369</v>
      </c>
      <c r="G224" s="122" t="s">
        <v>4</v>
      </c>
      <c r="H224" s="123"/>
      <c r="I224" s="124"/>
      <c r="J224" s="121"/>
      <c r="K224" s="122" t="s">
        <v>64</v>
      </c>
      <c r="L224" s="124"/>
      <c r="M224" s="124"/>
      <c r="N224" s="100"/>
      <c r="O224" s="100"/>
    </row>
    <row r="225" spans="2:15" x14ac:dyDescent="0.55000000000000004">
      <c r="B225" s="88">
        <v>220</v>
      </c>
      <c r="C225" s="91" t="s">
        <v>114</v>
      </c>
      <c r="D225" s="91" t="s">
        <v>115</v>
      </c>
      <c r="E225" s="91" t="s">
        <v>315</v>
      </c>
      <c r="F225" s="106" t="s">
        <v>116</v>
      </c>
      <c r="G225" s="111" t="s">
        <v>4</v>
      </c>
      <c r="H225" s="112"/>
      <c r="I225" s="113"/>
      <c r="J225" s="106"/>
      <c r="K225" s="122" t="s">
        <v>64</v>
      </c>
      <c r="L225" s="113"/>
      <c r="M225" s="113"/>
      <c r="N225" s="100"/>
      <c r="O225" s="100"/>
    </row>
    <row r="226" spans="2:15" x14ac:dyDescent="0.55000000000000004">
      <c r="B226" s="88">
        <v>221</v>
      </c>
      <c r="C226" s="98" t="str">
        <f t="shared" ref="C226:C234" si="33">C225</f>
        <v>本番移行準備</v>
      </c>
      <c r="D226" s="98" t="str">
        <f t="shared" ref="D226:D234" si="34">D225</f>
        <v>UAT開始前</v>
      </c>
      <c r="E226" s="134" t="str">
        <f t="shared" ref="E226:E234" si="35">E225</f>
        <v>本番移行準備（先の工程に向けた準備）</v>
      </c>
      <c r="F226" s="116" t="s">
        <v>5</v>
      </c>
      <c r="G226" s="117" t="s">
        <v>4</v>
      </c>
      <c r="H226" s="118"/>
      <c r="I226" s="119"/>
      <c r="J226" s="116"/>
      <c r="K226" s="122" t="s">
        <v>64</v>
      </c>
      <c r="L226" s="119"/>
      <c r="M226" s="119"/>
      <c r="N226" s="100"/>
      <c r="O226" s="100"/>
    </row>
    <row r="227" spans="2:15" x14ac:dyDescent="0.55000000000000004">
      <c r="B227" s="88">
        <v>222</v>
      </c>
      <c r="C227" s="98" t="str">
        <f t="shared" si="33"/>
        <v>本番移行準備</v>
      </c>
      <c r="D227" s="98" t="str">
        <f t="shared" si="34"/>
        <v>UAT開始前</v>
      </c>
      <c r="E227" s="134" t="str">
        <f t="shared" si="35"/>
        <v>本番移行準備（先の工程に向けた準備）</v>
      </c>
      <c r="F227" s="116" t="s">
        <v>118</v>
      </c>
      <c r="G227" s="117" t="s">
        <v>4</v>
      </c>
      <c r="H227" s="118"/>
      <c r="I227" s="119"/>
      <c r="J227" s="116"/>
      <c r="K227" s="122" t="s">
        <v>64</v>
      </c>
      <c r="L227" s="119"/>
      <c r="M227" s="119"/>
      <c r="N227" s="100"/>
      <c r="O227" s="100"/>
    </row>
    <row r="228" spans="2:15" x14ac:dyDescent="0.55000000000000004">
      <c r="B228" s="88">
        <v>223</v>
      </c>
      <c r="C228" s="98" t="str">
        <f t="shared" si="33"/>
        <v>本番移行準備</v>
      </c>
      <c r="D228" s="98" t="str">
        <f t="shared" si="34"/>
        <v>UAT開始前</v>
      </c>
      <c r="E228" s="134" t="str">
        <f t="shared" si="35"/>
        <v>本番移行準備（先の工程に向けた準備）</v>
      </c>
      <c r="F228" s="116" t="s">
        <v>74</v>
      </c>
      <c r="G228" s="117" t="s">
        <v>4</v>
      </c>
      <c r="H228" s="118"/>
      <c r="I228" s="119"/>
      <c r="J228" s="116"/>
      <c r="K228" s="122" t="s">
        <v>64</v>
      </c>
      <c r="L228" s="119"/>
      <c r="M228" s="119"/>
      <c r="N228" s="100"/>
      <c r="O228" s="100"/>
    </row>
    <row r="229" spans="2:15" x14ac:dyDescent="0.55000000000000004">
      <c r="B229" s="88">
        <v>224</v>
      </c>
      <c r="C229" s="98" t="str">
        <f t="shared" si="33"/>
        <v>本番移行準備</v>
      </c>
      <c r="D229" s="98" t="str">
        <f t="shared" si="34"/>
        <v>UAT開始前</v>
      </c>
      <c r="E229" s="134" t="str">
        <f t="shared" si="35"/>
        <v>本番移行準備（先の工程に向けた準備）</v>
      </c>
      <c r="F229" s="116" t="s">
        <v>119</v>
      </c>
      <c r="G229" s="117" t="s">
        <v>4</v>
      </c>
      <c r="H229" s="118"/>
      <c r="I229" s="119"/>
      <c r="J229" s="116"/>
      <c r="K229" s="122" t="s">
        <v>64</v>
      </c>
      <c r="L229" s="119"/>
      <c r="M229" s="119"/>
      <c r="N229" s="100"/>
      <c r="O229" s="100"/>
    </row>
    <row r="230" spans="2:15" x14ac:dyDescent="0.55000000000000004">
      <c r="B230" s="88">
        <v>225</v>
      </c>
      <c r="C230" s="98" t="str">
        <f t="shared" si="33"/>
        <v>本番移行準備</v>
      </c>
      <c r="D230" s="98" t="str">
        <f t="shared" si="34"/>
        <v>UAT開始前</v>
      </c>
      <c r="E230" s="134" t="str">
        <f t="shared" si="35"/>
        <v>本番移行準備（先の工程に向けた準備）</v>
      </c>
      <c r="F230" s="116" t="s">
        <v>120</v>
      </c>
      <c r="G230" s="117" t="s">
        <v>4</v>
      </c>
      <c r="H230" s="118"/>
      <c r="I230" s="119"/>
      <c r="J230" s="116"/>
      <c r="K230" s="122" t="s">
        <v>64</v>
      </c>
      <c r="L230" s="119"/>
      <c r="M230" s="119"/>
      <c r="N230" s="100"/>
      <c r="O230" s="100"/>
    </row>
    <row r="231" spans="2:15" x14ac:dyDescent="0.55000000000000004">
      <c r="B231" s="88">
        <v>226</v>
      </c>
      <c r="C231" s="98" t="str">
        <f t="shared" si="33"/>
        <v>本番移行準備</v>
      </c>
      <c r="D231" s="98" t="str">
        <f t="shared" si="34"/>
        <v>UAT開始前</v>
      </c>
      <c r="E231" s="134" t="str">
        <f t="shared" si="35"/>
        <v>本番移行準備（先の工程に向けた準備）</v>
      </c>
      <c r="F231" s="116" t="s">
        <v>117</v>
      </c>
      <c r="G231" s="117" t="s">
        <v>4</v>
      </c>
      <c r="H231" s="118"/>
      <c r="I231" s="119"/>
      <c r="J231" s="116"/>
      <c r="K231" s="122" t="s">
        <v>64</v>
      </c>
      <c r="L231" s="119"/>
      <c r="M231" s="119"/>
      <c r="N231" s="100"/>
      <c r="O231" s="100"/>
    </row>
    <row r="232" spans="2:15" x14ac:dyDescent="0.55000000000000004">
      <c r="B232" s="88">
        <v>227</v>
      </c>
      <c r="C232" s="98" t="str">
        <f t="shared" si="33"/>
        <v>本番移行準備</v>
      </c>
      <c r="D232" s="98" t="str">
        <f t="shared" si="34"/>
        <v>UAT開始前</v>
      </c>
      <c r="E232" s="134" t="str">
        <f t="shared" si="35"/>
        <v>本番移行準備（先の工程に向けた準備）</v>
      </c>
      <c r="F232" s="116" t="s">
        <v>153</v>
      </c>
      <c r="G232" s="117" t="s">
        <v>4</v>
      </c>
      <c r="H232" s="118"/>
      <c r="I232" s="119"/>
      <c r="J232" s="116"/>
      <c r="K232" s="122" t="s">
        <v>64</v>
      </c>
      <c r="L232" s="119"/>
      <c r="M232" s="119"/>
      <c r="N232" s="100"/>
      <c r="O232" s="100"/>
    </row>
    <row r="233" spans="2:15" x14ac:dyDescent="0.55000000000000004">
      <c r="B233" s="88">
        <v>228</v>
      </c>
      <c r="C233" s="98" t="str">
        <f t="shared" si="33"/>
        <v>本番移行準備</v>
      </c>
      <c r="D233" s="98" t="str">
        <f t="shared" si="34"/>
        <v>UAT開始前</v>
      </c>
      <c r="E233" s="134" t="str">
        <f t="shared" si="35"/>
        <v>本番移行準備（先の工程に向けた準備）</v>
      </c>
      <c r="F233" s="116" t="s">
        <v>227</v>
      </c>
      <c r="G233" s="117" t="s">
        <v>4</v>
      </c>
      <c r="H233" s="118"/>
      <c r="I233" s="119"/>
      <c r="J233" s="116"/>
      <c r="K233" s="122" t="s">
        <v>64</v>
      </c>
      <c r="L233" s="119"/>
      <c r="M233" s="119"/>
      <c r="N233" s="100"/>
      <c r="O233" s="100"/>
    </row>
    <row r="234" spans="2:15" x14ac:dyDescent="0.55000000000000004">
      <c r="B234" s="88">
        <v>229</v>
      </c>
      <c r="C234" s="98" t="str">
        <f t="shared" si="33"/>
        <v>本番移行準備</v>
      </c>
      <c r="D234" s="98" t="str">
        <f t="shared" si="34"/>
        <v>UAT開始前</v>
      </c>
      <c r="E234" s="134" t="str">
        <f t="shared" si="35"/>
        <v>本番移行準備（先の工程に向けた準備）</v>
      </c>
      <c r="F234" s="116" t="s">
        <v>154</v>
      </c>
      <c r="G234" s="117" t="s">
        <v>4</v>
      </c>
      <c r="H234" s="118"/>
      <c r="I234" s="119"/>
      <c r="J234" s="116"/>
      <c r="K234" s="93" t="s">
        <v>64</v>
      </c>
      <c r="L234" s="119"/>
      <c r="M234" s="119"/>
      <c r="N234" s="100"/>
      <c r="O234" s="100"/>
    </row>
    <row r="235" spans="2:15" ht="54" x14ac:dyDescent="0.55000000000000004">
      <c r="B235" s="88">
        <v>230</v>
      </c>
      <c r="C235" s="91" t="s">
        <v>14</v>
      </c>
      <c r="D235" s="91" t="s">
        <v>6</v>
      </c>
      <c r="E235" s="91" t="s">
        <v>65</v>
      </c>
      <c r="F235" s="106" t="s">
        <v>150</v>
      </c>
      <c r="G235" s="111" t="s">
        <v>4</v>
      </c>
      <c r="H235" s="112"/>
      <c r="I235" s="113"/>
      <c r="J235" s="106"/>
      <c r="K235" s="122" t="s">
        <v>64</v>
      </c>
      <c r="L235" s="113"/>
      <c r="M235" s="113"/>
      <c r="N235" s="100"/>
      <c r="O235" s="100"/>
    </row>
    <row r="236" spans="2:15" ht="36" x14ac:dyDescent="0.55000000000000004">
      <c r="B236" s="88">
        <v>231</v>
      </c>
      <c r="C236" s="98" t="str">
        <f t="shared" ref="C236:E239" si="36">C235</f>
        <v>UAT</v>
      </c>
      <c r="D236" s="98" t="str">
        <f t="shared" si="36"/>
        <v>フェーズ開始前</v>
      </c>
      <c r="E236" s="134" t="str">
        <f t="shared" si="36"/>
        <v>DDL変更</v>
      </c>
      <c r="F236" s="116" t="s">
        <v>217</v>
      </c>
      <c r="G236" s="117" t="s">
        <v>4</v>
      </c>
      <c r="H236" s="118"/>
      <c r="I236" s="119"/>
      <c r="J236" s="116"/>
      <c r="K236" s="122" t="s">
        <v>64</v>
      </c>
      <c r="L236" s="119"/>
      <c r="M236" s="119"/>
      <c r="N236" s="100"/>
      <c r="O236" s="100"/>
    </row>
    <row r="237" spans="2:15" ht="36" x14ac:dyDescent="0.55000000000000004">
      <c r="B237" s="88">
        <v>232</v>
      </c>
      <c r="C237" s="98" t="str">
        <f t="shared" si="36"/>
        <v>UAT</v>
      </c>
      <c r="D237" s="98" t="str">
        <f t="shared" si="36"/>
        <v>フェーズ開始前</v>
      </c>
      <c r="E237" s="134" t="str">
        <f t="shared" si="36"/>
        <v>DDL変更</v>
      </c>
      <c r="F237" s="116" t="s">
        <v>219</v>
      </c>
      <c r="G237" s="117" t="s">
        <v>4</v>
      </c>
      <c r="H237" s="118"/>
      <c r="I237" s="119"/>
      <c r="J237" s="116"/>
      <c r="K237" s="122" t="s">
        <v>64</v>
      </c>
      <c r="L237" s="119"/>
      <c r="M237" s="119"/>
      <c r="N237" s="100"/>
      <c r="O237" s="100"/>
    </row>
    <row r="238" spans="2:15" ht="36" x14ac:dyDescent="0.55000000000000004">
      <c r="B238" s="88">
        <v>233</v>
      </c>
      <c r="C238" s="98" t="str">
        <f t="shared" si="36"/>
        <v>UAT</v>
      </c>
      <c r="D238" s="98" t="str">
        <f t="shared" si="36"/>
        <v>フェーズ開始前</v>
      </c>
      <c r="E238" s="134" t="str">
        <f t="shared" si="36"/>
        <v>DDL変更</v>
      </c>
      <c r="F238" s="116" t="s">
        <v>151</v>
      </c>
      <c r="G238" s="117" t="s">
        <v>4</v>
      </c>
      <c r="H238" s="118"/>
      <c r="I238" s="119"/>
      <c r="J238" s="116"/>
      <c r="K238" s="122" t="s">
        <v>64</v>
      </c>
      <c r="L238" s="119"/>
      <c r="M238" s="119"/>
      <c r="N238" s="100"/>
      <c r="O238" s="100"/>
    </row>
    <row r="239" spans="2:15" ht="36" x14ac:dyDescent="0.55000000000000004">
      <c r="B239" s="88">
        <v>234</v>
      </c>
      <c r="C239" s="98" t="str">
        <f t="shared" si="36"/>
        <v>UAT</v>
      </c>
      <c r="D239" s="98" t="str">
        <f t="shared" si="36"/>
        <v>フェーズ開始前</v>
      </c>
      <c r="E239" s="135" t="str">
        <f t="shared" si="36"/>
        <v>DDL変更</v>
      </c>
      <c r="F239" s="121" t="s">
        <v>108</v>
      </c>
      <c r="G239" s="122" t="s">
        <v>4</v>
      </c>
      <c r="H239" s="123"/>
      <c r="I239" s="124"/>
      <c r="J239" s="121"/>
      <c r="K239" s="122" t="s">
        <v>64</v>
      </c>
      <c r="L239" s="124"/>
      <c r="M239" s="124"/>
      <c r="N239" s="100"/>
      <c r="O239" s="100"/>
    </row>
    <row r="240" spans="2:15" x14ac:dyDescent="0.55000000000000004">
      <c r="B240" s="88">
        <v>235</v>
      </c>
      <c r="C240" s="98" t="str">
        <f t="shared" ref="C240:C252" si="37">C239</f>
        <v>UAT</v>
      </c>
      <c r="D240" s="98" t="str">
        <f t="shared" ref="D240:D252" si="38">D239</f>
        <v>フェーズ開始前</v>
      </c>
      <c r="E240" s="89" t="s">
        <v>305</v>
      </c>
      <c r="F240" s="157" t="s">
        <v>312</v>
      </c>
      <c r="G240" s="160" t="s">
        <v>4</v>
      </c>
      <c r="H240" s="158"/>
      <c r="I240" s="159"/>
      <c r="J240" s="157"/>
      <c r="K240" s="160" t="s">
        <v>64</v>
      </c>
      <c r="L240" s="159"/>
      <c r="M240" s="159"/>
      <c r="N240" s="100"/>
      <c r="O240" s="100"/>
    </row>
    <row r="241" spans="2:15" x14ac:dyDescent="0.55000000000000004">
      <c r="B241" s="88">
        <v>236</v>
      </c>
      <c r="C241" s="98" t="str">
        <f t="shared" si="37"/>
        <v>UAT</v>
      </c>
      <c r="D241" s="98" t="str">
        <f t="shared" si="38"/>
        <v>フェーズ開始前</v>
      </c>
      <c r="E241" s="130" t="s">
        <v>370</v>
      </c>
      <c r="F241" s="157" t="s">
        <v>371</v>
      </c>
      <c r="G241" s="160" t="s">
        <v>4</v>
      </c>
      <c r="H241" s="158"/>
      <c r="I241" s="159"/>
      <c r="J241" s="157"/>
      <c r="K241" s="160" t="s">
        <v>64</v>
      </c>
      <c r="L241" s="159"/>
      <c r="M241" s="159"/>
      <c r="N241" s="100"/>
      <c r="O241" s="100"/>
    </row>
    <row r="242" spans="2:15" x14ac:dyDescent="0.55000000000000004">
      <c r="B242" s="88">
        <v>237</v>
      </c>
      <c r="C242" s="98" t="str">
        <f t="shared" si="37"/>
        <v>UAT</v>
      </c>
      <c r="D242" s="98" t="str">
        <f t="shared" si="38"/>
        <v>フェーズ開始前</v>
      </c>
      <c r="E242" s="91" t="s">
        <v>316</v>
      </c>
      <c r="F242" s="157" t="s">
        <v>317</v>
      </c>
      <c r="G242" s="122" t="s">
        <v>4</v>
      </c>
      <c r="H242" s="158"/>
      <c r="I242" s="159"/>
      <c r="J242" s="157"/>
      <c r="K242" s="122" t="s">
        <v>4</v>
      </c>
      <c r="L242" s="159"/>
      <c r="M242" s="159"/>
      <c r="N242" s="100"/>
      <c r="O242" s="100"/>
    </row>
    <row r="243" spans="2:15" x14ac:dyDescent="0.55000000000000004">
      <c r="B243" s="88">
        <v>238</v>
      </c>
      <c r="C243" s="98" t="str">
        <f t="shared" si="37"/>
        <v>UAT</v>
      </c>
      <c r="D243" s="98" t="str">
        <f t="shared" si="38"/>
        <v>フェーズ開始前</v>
      </c>
      <c r="E243" s="134" t="str">
        <f>E242</f>
        <v>設定</v>
      </c>
      <c r="F243" s="157" t="s">
        <v>318</v>
      </c>
      <c r="G243" s="122" t="s">
        <v>4</v>
      </c>
      <c r="H243" s="158"/>
      <c r="I243" s="159"/>
      <c r="J243" s="157"/>
      <c r="K243" s="122" t="s">
        <v>4</v>
      </c>
      <c r="L243" s="159"/>
      <c r="M243" s="159"/>
      <c r="N243" s="100"/>
      <c r="O243" s="100"/>
    </row>
    <row r="244" spans="2:15" x14ac:dyDescent="0.55000000000000004">
      <c r="B244" s="88">
        <v>239</v>
      </c>
      <c r="C244" s="98" t="str">
        <f t="shared" si="37"/>
        <v>UAT</v>
      </c>
      <c r="D244" s="98" t="str">
        <f t="shared" si="38"/>
        <v>フェーズ開始前</v>
      </c>
      <c r="E244" s="134" t="str">
        <f>E243</f>
        <v>設定</v>
      </c>
      <c r="F244" s="157" t="s">
        <v>319</v>
      </c>
      <c r="G244" s="122" t="s">
        <v>4</v>
      </c>
      <c r="H244" s="158"/>
      <c r="I244" s="159"/>
      <c r="J244" s="157"/>
      <c r="K244" s="122" t="s">
        <v>4</v>
      </c>
      <c r="L244" s="159"/>
      <c r="M244" s="159"/>
      <c r="N244" s="100"/>
      <c r="O244" s="100"/>
    </row>
    <row r="245" spans="2:15" x14ac:dyDescent="0.55000000000000004">
      <c r="B245" s="88">
        <v>240</v>
      </c>
      <c r="C245" s="98" t="str">
        <f t="shared" si="37"/>
        <v>UAT</v>
      </c>
      <c r="D245" s="98" t="str">
        <f t="shared" si="38"/>
        <v>フェーズ開始前</v>
      </c>
      <c r="E245" s="135" t="str">
        <f>E244</f>
        <v>設定</v>
      </c>
      <c r="F245" s="157" t="s">
        <v>320</v>
      </c>
      <c r="G245" s="122" t="s">
        <v>4</v>
      </c>
      <c r="H245" s="158"/>
      <c r="I245" s="159"/>
      <c r="J245" s="157"/>
      <c r="K245" s="122" t="s">
        <v>4</v>
      </c>
      <c r="L245" s="159"/>
      <c r="M245" s="159"/>
      <c r="N245" s="100"/>
      <c r="O245" s="100"/>
    </row>
    <row r="246" spans="2:15" ht="108" x14ac:dyDescent="0.55000000000000004">
      <c r="B246" s="88">
        <v>241</v>
      </c>
      <c r="C246" s="98" t="str">
        <f t="shared" si="37"/>
        <v>UAT</v>
      </c>
      <c r="D246" s="98" t="str">
        <f t="shared" si="38"/>
        <v>フェーズ開始前</v>
      </c>
      <c r="E246" s="130" t="s">
        <v>321</v>
      </c>
      <c r="F246" s="157" t="s">
        <v>322</v>
      </c>
      <c r="G246" s="122" t="s">
        <v>4</v>
      </c>
      <c r="H246" s="158"/>
      <c r="I246" s="159"/>
      <c r="J246" s="157"/>
      <c r="K246" s="122" t="s">
        <v>4</v>
      </c>
      <c r="L246" s="159"/>
      <c r="M246" s="159"/>
      <c r="N246" s="100"/>
      <c r="O246" s="100"/>
    </row>
    <row r="247" spans="2:15" ht="90" x14ac:dyDescent="0.55000000000000004">
      <c r="B247" s="88">
        <v>242</v>
      </c>
      <c r="C247" s="98" t="str">
        <f t="shared" si="37"/>
        <v>UAT</v>
      </c>
      <c r="D247" s="98" t="str">
        <f t="shared" si="38"/>
        <v>フェーズ開始前</v>
      </c>
      <c r="E247" s="134" t="str">
        <f>E246</f>
        <v>資材</v>
      </c>
      <c r="F247" s="157" t="s">
        <v>323</v>
      </c>
      <c r="G247" s="122" t="s">
        <v>4</v>
      </c>
      <c r="H247" s="158"/>
      <c r="I247" s="159"/>
      <c r="J247" s="157"/>
      <c r="K247" s="122" t="s">
        <v>4</v>
      </c>
      <c r="L247" s="159"/>
      <c r="M247" s="159"/>
      <c r="N247" s="100"/>
      <c r="O247" s="100"/>
    </row>
    <row r="248" spans="2:15" ht="72" x14ac:dyDescent="0.55000000000000004">
      <c r="B248" s="88">
        <v>243</v>
      </c>
      <c r="C248" s="98" t="str">
        <f t="shared" si="37"/>
        <v>UAT</v>
      </c>
      <c r="D248" s="98" t="str">
        <f t="shared" si="38"/>
        <v>フェーズ開始前</v>
      </c>
      <c r="E248" s="134" t="str">
        <f>E247</f>
        <v>資材</v>
      </c>
      <c r="F248" s="157" t="s">
        <v>324</v>
      </c>
      <c r="G248" s="122" t="s">
        <v>4</v>
      </c>
      <c r="H248" s="158"/>
      <c r="I248" s="159"/>
      <c r="J248" s="157"/>
      <c r="K248" s="122" t="s">
        <v>4</v>
      </c>
      <c r="L248" s="159"/>
      <c r="M248" s="159"/>
      <c r="N248" s="100"/>
      <c r="O248" s="100"/>
    </row>
    <row r="249" spans="2:15" x14ac:dyDescent="0.55000000000000004">
      <c r="B249" s="88">
        <v>244</v>
      </c>
      <c r="C249" s="98" t="str">
        <f t="shared" si="37"/>
        <v>UAT</v>
      </c>
      <c r="D249" s="98" t="str">
        <f t="shared" si="38"/>
        <v>フェーズ開始前</v>
      </c>
      <c r="E249" s="89" t="s">
        <v>265</v>
      </c>
      <c r="F249" s="157" t="s">
        <v>325</v>
      </c>
      <c r="G249" s="122" t="s">
        <v>4</v>
      </c>
      <c r="H249" s="158"/>
      <c r="I249" s="159"/>
      <c r="J249" s="157"/>
      <c r="K249" s="122" t="s">
        <v>4</v>
      </c>
      <c r="L249" s="159"/>
      <c r="M249" s="159"/>
      <c r="N249" s="100"/>
      <c r="O249" s="100"/>
    </row>
    <row r="250" spans="2:15" x14ac:dyDescent="0.55000000000000004">
      <c r="B250" s="88">
        <v>245</v>
      </c>
      <c r="C250" s="98" t="str">
        <f t="shared" si="37"/>
        <v>UAT</v>
      </c>
      <c r="D250" s="98" t="str">
        <f t="shared" si="38"/>
        <v>フェーズ開始前</v>
      </c>
      <c r="E250" s="91" t="s">
        <v>326</v>
      </c>
      <c r="F250" s="157" t="s">
        <v>327</v>
      </c>
      <c r="G250" s="122" t="s">
        <v>4</v>
      </c>
      <c r="H250" s="158"/>
      <c r="I250" s="159"/>
      <c r="J250" s="157"/>
      <c r="K250" s="122" t="s">
        <v>4</v>
      </c>
      <c r="L250" s="159"/>
      <c r="M250" s="159"/>
      <c r="N250" s="100"/>
      <c r="O250" s="100"/>
    </row>
    <row r="251" spans="2:15" x14ac:dyDescent="0.55000000000000004">
      <c r="B251" s="88">
        <v>246</v>
      </c>
      <c r="C251" s="98" t="str">
        <f t="shared" si="37"/>
        <v>UAT</v>
      </c>
      <c r="D251" s="98" t="str">
        <f t="shared" si="38"/>
        <v>フェーズ開始前</v>
      </c>
      <c r="E251" s="91" t="s">
        <v>328</v>
      </c>
      <c r="F251" s="155" t="s">
        <v>329</v>
      </c>
      <c r="G251" s="122" t="s">
        <v>4</v>
      </c>
      <c r="H251" s="158"/>
      <c r="I251" s="159"/>
      <c r="J251" s="157"/>
      <c r="K251" s="122" t="s">
        <v>4</v>
      </c>
      <c r="L251" s="159"/>
      <c r="M251" s="159"/>
      <c r="N251" s="100"/>
      <c r="O251" s="100"/>
    </row>
    <row r="252" spans="2:15" x14ac:dyDescent="0.55000000000000004">
      <c r="B252" s="88">
        <v>247</v>
      </c>
      <c r="C252" s="98" t="str">
        <f t="shared" si="37"/>
        <v>UAT</v>
      </c>
      <c r="D252" s="99" t="str">
        <f t="shared" si="38"/>
        <v>フェーズ開始前</v>
      </c>
      <c r="E252" s="99" t="s">
        <v>328</v>
      </c>
      <c r="F252" s="155" t="s">
        <v>330</v>
      </c>
      <c r="G252" s="122" t="s">
        <v>4</v>
      </c>
      <c r="H252" s="158"/>
      <c r="I252" s="159"/>
      <c r="J252" s="157"/>
      <c r="K252" s="122" t="s">
        <v>4</v>
      </c>
      <c r="L252" s="159"/>
      <c r="M252" s="159"/>
      <c r="N252" s="100"/>
      <c r="O252" s="100"/>
    </row>
    <row r="253" spans="2:15" ht="126" x14ac:dyDescent="0.55000000000000004">
      <c r="B253" s="88">
        <v>248</v>
      </c>
      <c r="C253" s="99" t="str">
        <f>C252</f>
        <v>UAT</v>
      </c>
      <c r="D253" s="136" t="s">
        <v>372</v>
      </c>
      <c r="E253" s="99" t="s">
        <v>291</v>
      </c>
      <c r="F253" s="157" t="s">
        <v>369</v>
      </c>
      <c r="G253" s="122" t="s">
        <v>4</v>
      </c>
      <c r="H253" s="158"/>
      <c r="I253" s="159"/>
      <c r="J253" s="157"/>
      <c r="K253" s="122" t="s">
        <v>4</v>
      </c>
      <c r="L253" s="159"/>
      <c r="M253" s="159"/>
      <c r="N253" s="100"/>
      <c r="O253" s="100"/>
    </row>
    <row r="254" spans="2:15" x14ac:dyDescent="0.55000000000000004">
      <c r="B254" s="88">
        <v>249</v>
      </c>
      <c r="C254" s="98" t="str">
        <f>C268</f>
        <v>本番移行準備</v>
      </c>
      <c r="D254" s="130" t="s">
        <v>331</v>
      </c>
      <c r="E254" s="130" t="s">
        <v>12</v>
      </c>
      <c r="F254" s="95" t="s">
        <v>11</v>
      </c>
      <c r="G254" s="93" t="s">
        <v>4</v>
      </c>
      <c r="H254" s="94"/>
      <c r="I254" s="88"/>
      <c r="J254" s="95"/>
      <c r="K254" s="122" t="s">
        <v>64</v>
      </c>
      <c r="L254" s="88"/>
      <c r="M254" s="88"/>
      <c r="N254" s="100"/>
      <c r="O254" s="100"/>
    </row>
    <row r="255" spans="2:15" x14ac:dyDescent="0.55000000000000004">
      <c r="B255" s="88">
        <v>250</v>
      </c>
      <c r="C255" s="98" t="str">
        <f t="shared" ref="C255:D258" si="39">C254</f>
        <v>本番移行準備</v>
      </c>
      <c r="D255" s="98" t="str">
        <f t="shared" si="39"/>
        <v>フェーズ終了時</v>
      </c>
      <c r="E255" s="89" t="s">
        <v>10</v>
      </c>
      <c r="F255" s="95" t="s">
        <v>9</v>
      </c>
      <c r="G255" s="93" t="s">
        <v>4</v>
      </c>
      <c r="H255" s="94"/>
      <c r="I255" s="88"/>
      <c r="J255" s="95"/>
      <c r="K255" s="122" t="s">
        <v>64</v>
      </c>
      <c r="L255" s="88"/>
      <c r="M255" s="88"/>
      <c r="N255" s="100"/>
      <c r="O255" s="100"/>
    </row>
    <row r="256" spans="2:15" x14ac:dyDescent="0.55000000000000004">
      <c r="B256" s="88">
        <v>251</v>
      </c>
      <c r="C256" s="98" t="str">
        <f t="shared" si="39"/>
        <v>本番移行準備</v>
      </c>
      <c r="D256" s="98" t="str">
        <f t="shared" si="39"/>
        <v>フェーズ終了時</v>
      </c>
      <c r="E256" s="136" t="s">
        <v>8</v>
      </c>
      <c r="F256" s="95" t="s">
        <v>7</v>
      </c>
      <c r="G256" s="93" t="s">
        <v>4</v>
      </c>
      <c r="H256" s="94"/>
      <c r="I256" s="88"/>
      <c r="J256" s="95"/>
      <c r="K256" s="122" t="s">
        <v>64</v>
      </c>
      <c r="L256" s="88"/>
      <c r="M256" s="88"/>
      <c r="N256" s="100"/>
      <c r="O256" s="100"/>
    </row>
    <row r="257" spans="2:15" x14ac:dyDescent="0.55000000000000004">
      <c r="B257" s="88">
        <v>252</v>
      </c>
      <c r="C257" s="98" t="str">
        <f t="shared" si="39"/>
        <v>本番移行準備</v>
      </c>
      <c r="D257" s="98" t="str">
        <f t="shared" si="39"/>
        <v>フェーズ終了時</v>
      </c>
      <c r="E257" s="89" t="s">
        <v>152</v>
      </c>
      <c r="F257" s="95" t="s">
        <v>216</v>
      </c>
      <c r="G257" s="93" t="s">
        <v>4</v>
      </c>
      <c r="H257" s="94"/>
      <c r="I257" s="88"/>
      <c r="J257" s="95"/>
      <c r="K257" s="122" t="s">
        <v>64</v>
      </c>
      <c r="L257" s="88"/>
      <c r="M257" s="88"/>
      <c r="N257" s="100"/>
      <c r="O257" s="100"/>
    </row>
    <row r="258" spans="2:15" x14ac:dyDescent="0.55000000000000004">
      <c r="B258" s="88">
        <v>253</v>
      </c>
      <c r="C258" s="98" t="str">
        <f t="shared" si="39"/>
        <v>本番移行準備</v>
      </c>
      <c r="D258" s="98" t="str">
        <f t="shared" si="39"/>
        <v>フェーズ終了時</v>
      </c>
      <c r="E258" s="136" t="s">
        <v>222</v>
      </c>
      <c r="F258" s="157" t="s">
        <v>174</v>
      </c>
      <c r="G258" s="122" t="s">
        <v>4</v>
      </c>
      <c r="H258" s="158"/>
      <c r="I258" s="159"/>
      <c r="J258" s="157"/>
      <c r="K258" s="122" t="s">
        <v>64</v>
      </c>
      <c r="L258" s="159"/>
      <c r="M258" s="159"/>
      <c r="N258" s="100"/>
      <c r="O258" s="100"/>
    </row>
    <row r="259" spans="2:15" x14ac:dyDescent="0.55000000000000004">
      <c r="B259" s="88">
        <v>254</v>
      </c>
      <c r="C259" s="98" t="str">
        <f>C234</f>
        <v>本番移行準備</v>
      </c>
      <c r="D259" s="98" t="str">
        <f t="shared" ref="D259:D295" si="40">D258</f>
        <v>フェーズ終了時</v>
      </c>
      <c r="E259" s="130" t="s">
        <v>305</v>
      </c>
      <c r="F259" s="157" t="s">
        <v>312</v>
      </c>
      <c r="G259" s="160" t="s">
        <v>4</v>
      </c>
      <c r="H259" s="158"/>
      <c r="I259" s="159"/>
      <c r="J259" s="157"/>
      <c r="K259" s="160" t="s">
        <v>64</v>
      </c>
      <c r="L259" s="159"/>
      <c r="M259" s="159"/>
      <c r="N259" s="100"/>
      <c r="O259" s="100"/>
    </row>
    <row r="260" spans="2:15" x14ac:dyDescent="0.55000000000000004">
      <c r="B260" s="88">
        <v>255</v>
      </c>
      <c r="C260" s="98" t="str">
        <f t="shared" ref="C260:C295" si="41">C259</f>
        <v>本番移行準備</v>
      </c>
      <c r="D260" s="98" t="str">
        <f t="shared" si="40"/>
        <v>フェーズ終了時</v>
      </c>
      <c r="E260" s="91" t="s">
        <v>316</v>
      </c>
      <c r="F260" s="157" t="s">
        <v>317</v>
      </c>
      <c r="G260" s="122" t="s">
        <v>4</v>
      </c>
      <c r="H260" s="158"/>
      <c r="I260" s="159"/>
      <c r="J260" s="157"/>
      <c r="K260" s="122" t="s">
        <v>4</v>
      </c>
      <c r="L260" s="159"/>
      <c r="M260" s="159"/>
      <c r="N260" s="100"/>
      <c r="O260" s="100"/>
    </row>
    <row r="261" spans="2:15" x14ac:dyDescent="0.55000000000000004">
      <c r="B261" s="88">
        <v>256</v>
      </c>
      <c r="C261" s="98" t="str">
        <f t="shared" si="41"/>
        <v>本番移行準備</v>
      </c>
      <c r="D261" s="98" t="str">
        <f t="shared" si="40"/>
        <v>フェーズ終了時</v>
      </c>
      <c r="E261" s="134" t="str">
        <f>E260</f>
        <v>設定</v>
      </c>
      <c r="F261" s="157" t="s">
        <v>318</v>
      </c>
      <c r="G261" s="122" t="s">
        <v>4</v>
      </c>
      <c r="H261" s="158"/>
      <c r="I261" s="159"/>
      <c r="J261" s="157"/>
      <c r="K261" s="122" t="s">
        <v>4</v>
      </c>
      <c r="L261" s="159"/>
      <c r="M261" s="159"/>
      <c r="N261" s="100"/>
      <c r="O261" s="100"/>
    </row>
    <row r="262" spans="2:15" x14ac:dyDescent="0.55000000000000004">
      <c r="B262" s="88">
        <v>257</v>
      </c>
      <c r="C262" s="98" t="str">
        <f t="shared" si="41"/>
        <v>本番移行準備</v>
      </c>
      <c r="D262" s="98" t="str">
        <f t="shared" si="40"/>
        <v>フェーズ終了時</v>
      </c>
      <c r="E262" s="134" t="str">
        <f>E261</f>
        <v>設定</v>
      </c>
      <c r="F262" s="157" t="s">
        <v>319</v>
      </c>
      <c r="G262" s="122" t="s">
        <v>4</v>
      </c>
      <c r="H262" s="158"/>
      <c r="I262" s="159"/>
      <c r="J262" s="157"/>
      <c r="K262" s="122" t="s">
        <v>4</v>
      </c>
      <c r="L262" s="159"/>
      <c r="M262" s="159"/>
      <c r="N262" s="100"/>
      <c r="O262" s="100"/>
    </row>
    <row r="263" spans="2:15" x14ac:dyDescent="0.55000000000000004">
      <c r="B263" s="88">
        <v>258</v>
      </c>
      <c r="C263" s="98" t="str">
        <f t="shared" si="41"/>
        <v>本番移行準備</v>
      </c>
      <c r="D263" s="98" t="str">
        <f t="shared" si="40"/>
        <v>フェーズ終了時</v>
      </c>
      <c r="E263" s="135" t="str">
        <f>E262</f>
        <v>設定</v>
      </c>
      <c r="F263" s="157" t="s">
        <v>320</v>
      </c>
      <c r="G263" s="122" t="s">
        <v>4</v>
      </c>
      <c r="H263" s="158"/>
      <c r="I263" s="159"/>
      <c r="J263" s="157"/>
      <c r="K263" s="122" t="s">
        <v>4</v>
      </c>
      <c r="L263" s="159"/>
      <c r="M263" s="159"/>
      <c r="N263" s="100"/>
      <c r="O263" s="100"/>
    </row>
    <row r="264" spans="2:15" ht="108" x14ac:dyDescent="0.55000000000000004">
      <c r="B264" s="88">
        <v>259</v>
      </c>
      <c r="C264" s="98" t="str">
        <f t="shared" si="41"/>
        <v>本番移行準備</v>
      </c>
      <c r="D264" s="98" t="str">
        <f t="shared" si="40"/>
        <v>フェーズ終了時</v>
      </c>
      <c r="E264" s="130" t="s">
        <v>321</v>
      </c>
      <c r="F264" s="157" t="s">
        <v>322</v>
      </c>
      <c r="G264" s="122" t="s">
        <v>4</v>
      </c>
      <c r="H264" s="158"/>
      <c r="I264" s="159"/>
      <c r="J264" s="157"/>
      <c r="K264" s="122" t="s">
        <v>4</v>
      </c>
      <c r="L264" s="159"/>
      <c r="M264" s="159"/>
      <c r="N264" s="100"/>
      <c r="O264" s="100"/>
    </row>
    <row r="265" spans="2:15" ht="90" x14ac:dyDescent="0.55000000000000004">
      <c r="B265" s="88">
        <v>260</v>
      </c>
      <c r="C265" s="98" t="str">
        <f t="shared" si="41"/>
        <v>本番移行準備</v>
      </c>
      <c r="D265" s="98" t="str">
        <f t="shared" si="40"/>
        <v>フェーズ終了時</v>
      </c>
      <c r="E265" s="134" t="str">
        <f>E264</f>
        <v>資材</v>
      </c>
      <c r="F265" s="157" t="s">
        <v>323</v>
      </c>
      <c r="G265" s="122" t="s">
        <v>4</v>
      </c>
      <c r="H265" s="158"/>
      <c r="I265" s="159"/>
      <c r="J265" s="157"/>
      <c r="K265" s="122" t="s">
        <v>4</v>
      </c>
      <c r="L265" s="159"/>
      <c r="M265" s="159"/>
      <c r="N265" s="100"/>
      <c r="O265" s="100"/>
    </row>
    <row r="266" spans="2:15" ht="72" x14ac:dyDescent="0.55000000000000004">
      <c r="B266" s="88">
        <v>261</v>
      </c>
      <c r="C266" s="98" t="str">
        <f t="shared" si="41"/>
        <v>本番移行準備</v>
      </c>
      <c r="D266" s="98" t="str">
        <f t="shared" si="40"/>
        <v>フェーズ終了時</v>
      </c>
      <c r="E266" s="134" t="str">
        <f>E265</f>
        <v>資材</v>
      </c>
      <c r="F266" s="157" t="s">
        <v>324</v>
      </c>
      <c r="G266" s="122" t="s">
        <v>4</v>
      </c>
      <c r="H266" s="158"/>
      <c r="I266" s="159"/>
      <c r="J266" s="157"/>
      <c r="K266" s="122" t="s">
        <v>4</v>
      </c>
      <c r="L266" s="159"/>
      <c r="M266" s="159"/>
      <c r="N266" s="100"/>
      <c r="O266" s="100"/>
    </row>
    <row r="267" spans="2:15" x14ac:dyDescent="0.55000000000000004">
      <c r="B267" s="88">
        <v>262</v>
      </c>
      <c r="C267" s="98" t="str">
        <f t="shared" si="41"/>
        <v>本番移行準備</v>
      </c>
      <c r="D267" s="98" t="str">
        <f t="shared" si="40"/>
        <v>フェーズ終了時</v>
      </c>
      <c r="E267" s="89" t="s">
        <v>265</v>
      </c>
      <c r="F267" s="157" t="s">
        <v>332</v>
      </c>
      <c r="G267" s="122" t="s">
        <v>4</v>
      </c>
      <c r="H267" s="158"/>
      <c r="I267" s="159"/>
      <c r="J267" s="157"/>
      <c r="K267" s="122" t="s">
        <v>4</v>
      </c>
      <c r="L267" s="159"/>
      <c r="M267" s="159"/>
      <c r="N267" s="100"/>
      <c r="O267" s="100"/>
    </row>
    <row r="268" spans="2:15" x14ac:dyDescent="0.55000000000000004">
      <c r="B268" s="88">
        <v>263</v>
      </c>
      <c r="C268" s="98" t="str">
        <f t="shared" si="41"/>
        <v>本番移行準備</v>
      </c>
      <c r="D268" s="98" t="str">
        <f t="shared" si="40"/>
        <v>フェーズ終了時</v>
      </c>
      <c r="E268" s="89" t="s">
        <v>326</v>
      </c>
      <c r="F268" s="157" t="s">
        <v>333</v>
      </c>
      <c r="G268" s="122" t="s">
        <v>4</v>
      </c>
      <c r="H268" s="158"/>
      <c r="I268" s="159"/>
      <c r="J268" s="157"/>
      <c r="K268" s="122" t="s">
        <v>4</v>
      </c>
      <c r="L268" s="159"/>
      <c r="M268" s="159"/>
      <c r="N268" s="100"/>
      <c r="O268" s="100"/>
    </row>
    <row r="269" spans="2:15" x14ac:dyDescent="0.55000000000000004">
      <c r="B269" s="88">
        <v>264</v>
      </c>
      <c r="C269" s="98" t="str">
        <f t="shared" si="41"/>
        <v>本番移行準備</v>
      </c>
      <c r="D269" s="98" t="str">
        <f t="shared" si="40"/>
        <v>フェーズ終了時</v>
      </c>
      <c r="E269" s="91" t="s">
        <v>328</v>
      </c>
      <c r="F269" s="157" t="s">
        <v>329</v>
      </c>
      <c r="G269" s="122" t="s">
        <v>4</v>
      </c>
      <c r="H269" s="158"/>
      <c r="I269" s="159"/>
      <c r="J269" s="157"/>
      <c r="K269" s="122" t="s">
        <v>4</v>
      </c>
      <c r="L269" s="159"/>
      <c r="M269" s="159"/>
      <c r="N269" s="100"/>
      <c r="O269" s="100"/>
    </row>
    <row r="270" spans="2:15" x14ac:dyDescent="0.55000000000000004">
      <c r="B270" s="88">
        <v>265</v>
      </c>
      <c r="C270" s="98" t="str">
        <f t="shared" si="41"/>
        <v>本番移行準備</v>
      </c>
      <c r="D270" s="98" t="str">
        <f t="shared" si="40"/>
        <v>フェーズ終了時</v>
      </c>
      <c r="E270" s="99" t="s">
        <v>328</v>
      </c>
      <c r="F270" s="95" t="s">
        <v>334</v>
      </c>
      <c r="G270" s="122" t="s">
        <v>4</v>
      </c>
      <c r="H270" s="158"/>
      <c r="I270" s="159"/>
      <c r="J270" s="157"/>
      <c r="K270" s="122" t="s">
        <v>4</v>
      </c>
      <c r="L270" s="159"/>
      <c r="M270" s="159"/>
      <c r="N270" s="100"/>
      <c r="O270" s="100"/>
    </row>
    <row r="271" spans="2:15" x14ac:dyDescent="0.55000000000000004">
      <c r="B271" s="88">
        <v>266</v>
      </c>
      <c r="C271" s="98" t="str">
        <f t="shared" si="41"/>
        <v>本番移行準備</v>
      </c>
      <c r="D271" s="98" t="str">
        <f t="shared" si="40"/>
        <v>フェーズ終了時</v>
      </c>
      <c r="E271" s="91" t="s">
        <v>373</v>
      </c>
      <c r="F271" s="95" t="s">
        <v>337</v>
      </c>
      <c r="G271" s="93" t="s">
        <v>4</v>
      </c>
      <c r="H271" s="94"/>
      <c r="I271" s="88"/>
      <c r="J271" s="95"/>
      <c r="K271" s="122" t="s">
        <v>64</v>
      </c>
      <c r="L271" s="88"/>
      <c r="M271" s="88"/>
      <c r="N271" s="100"/>
      <c r="O271" s="100"/>
    </row>
    <row r="272" spans="2:15" x14ac:dyDescent="0.55000000000000004">
      <c r="B272" s="88">
        <v>267</v>
      </c>
      <c r="C272" s="98" t="str">
        <f t="shared" si="41"/>
        <v>本番移行準備</v>
      </c>
      <c r="D272" s="98" t="str">
        <f t="shared" si="40"/>
        <v>フェーズ終了時</v>
      </c>
      <c r="E272" s="134" t="str">
        <f>E271</f>
        <v>業務影響（非機能要件）</v>
      </c>
      <c r="F272" s="95" t="s">
        <v>338</v>
      </c>
      <c r="G272" s="93" t="s">
        <v>4</v>
      </c>
      <c r="H272" s="94"/>
      <c r="I272" s="88"/>
      <c r="J272" s="95"/>
      <c r="K272" s="122" t="s">
        <v>64</v>
      </c>
      <c r="L272" s="88"/>
      <c r="M272" s="88"/>
      <c r="N272" s="100"/>
      <c r="O272" s="100"/>
    </row>
    <row r="273" spans="2:15" x14ac:dyDescent="0.55000000000000004">
      <c r="B273" s="88">
        <v>268</v>
      </c>
      <c r="C273" s="98" t="str">
        <f t="shared" si="41"/>
        <v>本番移行準備</v>
      </c>
      <c r="D273" s="98" t="str">
        <f t="shared" si="40"/>
        <v>フェーズ終了時</v>
      </c>
      <c r="E273" s="134" t="str">
        <f>E272</f>
        <v>業務影響（非機能要件）</v>
      </c>
      <c r="F273" s="95" t="s">
        <v>339</v>
      </c>
      <c r="G273" s="93" t="s">
        <v>4</v>
      </c>
      <c r="H273" s="94"/>
      <c r="I273" s="88"/>
      <c r="J273" s="95"/>
      <c r="K273" s="122" t="s">
        <v>64</v>
      </c>
      <c r="L273" s="88"/>
      <c r="M273" s="88"/>
      <c r="N273" s="100"/>
      <c r="O273" s="100"/>
    </row>
    <row r="274" spans="2:15" x14ac:dyDescent="0.55000000000000004">
      <c r="B274" s="88">
        <v>269</v>
      </c>
      <c r="C274" s="98" t="str">
        <f t="shared" si="41"/>
        <v>本番移行準備</v>
      </c>
      <c r="D274" s="98" t="str">
        <f t="shared" si="40"/>
        <v>フェーズ終了時</v>
      </c>
      <c r="E274" s="134" t="str">
        <f>E273</f>
        <v>業務影響（非機能要件）</v>
      </c>
      <c r="F274" s="95" t="s">
        <v>340</v>
      </c>
      <c r="G274" s="93" t="s">
        <v>4</v>
      </c>
      <c r="H274" s="94"/>
      <c r="I274" s="88"/>
      <c r="J274" s="95"/>
      <c r="K274" s="122" t="s">
        <v>64</v>
      </c>
      <c r="L274" s="88"/>
      <c r="M274" s="88"/>
      <c r="N274" s="100"/>
      <c r="O274" s="100"/>
    </row>
    <row r="275" spans="2:15" ht="36" x14ac:dyDescent="0.55000000000000004">
      <c r="B275" s="88">
        <v>270</v>
      </c>
      <c r="C275" s="98" t="str">
        <f t="shared" si="41"/>
        <v>本番移行準備</v>
      </c>
      <c r="D275" s="98" t="str">
        <f t="shared" si="40"/>
        <v>フェーズ終了時</v>
      </c>
      <c r="E275" s="134" t="str">
        <f>E274</f>
        <v>業務影響（非機能要件）</v>
      </c>
      <c r="F275" s="95" t="s">
        <v>341</v>
      </c>
      <c r="G275" s="93" t="s">
        <v>4</v>
      </c>
      <c r="H275" s="94"/>
      <c r="I275" s="88"/>
      <c r="J275" s="95"/>
      <c r="K275" s="122" t="s">
        <v>64</v>
      </c>
      <c r="L275" s="88"/>
      <c r="M275" s="88"/>
      <c r="N275" s="100"/>
      <c r="O275" s="100"/>
    </row>
    <row r="276" spans="2:15" x14ac:dyDescent="0.55000000000000004">
      <c r="B276" s="88">
        <v>271</v>
      </c>
      <c r="C276" s="98" t="str">
        <f t="shared" si="41"/>
        <v>本番移行準備</v>
      </c>
      <c r="D276" s="98" t="str">
        <f t="shared" si="40"/>
        <v>フェーズ終了時</v>
      </c>
      <c r="E276" s="135" t="str">
        <f>E275</f>
        <v>業務影響（非機能要件）</v>
      </c>
      <c r="F276" s="95" t="s">
        <v>342</v>
      </c>
      <c r="G276" s="93" t="s">
        <v>4</v>
      </c>
      <c r="H276" s="94"/>
      <c r="I276" s="88"/>
      <c r="J276" s="95"/>
      <c r="K276" s="122" t="s">
        <v>64</v>
      </c>
      <c r="L276" s="88"/>
      <c r="M276" s="88"/>
      <c r="N276" s="100"/>
      <c r="O276" s="100"/>
    </row>
    <row r="277" spans="2:15" x14ac:dyDescent="0.55000000000000004">
      <c r="B277" s="88">
        <v>272</v>
      </c>
      <c r="C277" s="98" t="str">
        <f t="shared" si="41"/>
        <v>本番移行準備</v>
      </c>
      <c r="D277" s="98" t="str">
        <f t="shared" si="40"/>
        <v>フェーズ終了時</v>
      </c>
      <c r="E277" s="89" t="s">
        <v>374</v>
      </c>
      <c r="F277" s="95" t="s">
        <v>343</v>
      </c>
      <c r="G277" s="93" t="s">
        <v>4</v>
      </c>
      <c r="H277" s="94"/>
      <c r="I277" s="88"/>
      <c r="J277" s="95"/>
      <c r="K277" s="122" t="s">
        <v>64</v>
      </c>
      <c r="L277" s="88"/>
      <c r="M277" s="88"/>
      <c r="N277" s="100"/>
      <c r="O277" s="100"/>
    </row>
    <row r="278" spans="2:15" x14ac:dyDescent="0.55000000000000004">
      <c r="B278" s="88">
        <v>273</v>
      </c>
      <c r="C278" s="98" t="str">
        <f t="shared" si="41"/>
        <v>本番移行準備</v>
      </c>
      <c r="D278" s="98" t="str">
        <f t="shared" si="40"/>
        <v>フェーズ終了時</v>
      </c>
      <c r="E278" s="89" t="s">
        <v>375</v>
      </c>
      <c r="F278" s="95" t="s">
        <v>344</v>
      </c>
      <c r="G278" s="93" t="s">
        <v>4</v>
      </c>
      <c r="H278" s="94"/>
      <c r="I278" s="88"/>
      <c r="J278" s="95"/>
      <c r="K278" s="122" t="s">
        <v>64</v>
      </c>
      <c r="L278" s="88"/>
      <c r="M278" s="88"/>
      <c r="N278" s="100"/>
      <c r="O278" s="100"/>
    </row>
    <row r="279" spans="2:15" x14ac:dyDescent="0.55000000000000004">
      <c r="B279" s="88">
        <v>274</v>
      </c>
      <c r="C279" s="98" t="str">
        <f t="shared" si="41"/>
        <v>本番移行準備</v>
      </c>
      <c r="D279" s="98" t="str">
        <f t="shared" si="40"/>
        <v>フェーズ終了時</v>
      </c>
      <c r="E279" s="91" t="s">
        <v>376</v>
      </c>
      <c r="F279" s="95" t="s">
        <v>345</v>
      </c>
      <c r="G279" s="93" t="s">
        <v>4</v>
      </c>
      <c r="H279" s="94"/>
      <c r="I279" s="88"/>
      <c r="J279" s="95"/>
      <c r="K279" s="122" t="s">
        <v>64</v>
      </c>
      <c r="L279" s="88"/>
      <c r="M279" s="88"/>
      <c r="N279" s="100"/>
      <c r="O279" s="100"/>
    </row>
    <row r="280" spans="2:15" x14ac:dyDescent="0.55000000000000004">
      <c r="B280" s="88">
        <v>275</v>
      </c>
      <c r="C280" s="98" t="str">
        <f t="shared" si="41"/>
        <v>本番移行準備</v>
      </c>
      <c r="D280" s="98" t="str">
        <f t="shared" si="40"/>
        <v>フェーズ終了時</v>
      </c>
      <c r="E280" s="134" t="str">
        <f>E279</f>
        <v>運用スケジュール（非機能要件）</v>
      </c>
      <c r="F280" s="95" t="s">
        <v>346</v>
      </c>
      <c r="G280" s="93" t="s">
        <v>4</v>
      </c>
      <c r="H280" s="94"/>
      <c r="I280" s="88"/>
      <c r="J280" s="95"/>
      <c r="K280" s="122" t="s">
        <v>64</v>
      </c>
      <c r="L280" s="88"/>
      <c r="M280" s="88"/>
      <c r="N280" s="100"/>
      <c r="O280" s="100"/>
    </row>
    <row r="281" spans="2:15" x14ac:dyDescent="0.55000000000000004">
      <c r="B281" s="88">
        <v>276</v>
      </c>
      <c r="C281" s="98" t="str">
        <f t="shared" si="41"/>
        <v>本番移行準備</v>
      </c>
      <c r="D281" s="98" t="str">
        <f t="shared" si="40"/>
        <v>フェーズ終了時</v>
      </c>
      <c r="E281" s="134" t="str">
        <f>E280</f>
        <v>運用スケジュール（非機能要件）</v>
      </c>
      <c r="F281" s="95" t="s">
        <v>347</v>
      </c>
      <c r="G281" s="93" t="s">
        <v>4</v>
      </c>
      <c r="H281" s="94"/>
      <c r="I281" s="88"/>
      <c r="J281" s="95"/>
      <c r="K281" s="122" t="s">
        <v>64</v>
      </c>
      <c r="L281" s="88"/>
      <c r="M281" s="88"/>
      <c r="N281" s="100"/>
      <c r="O281" s="100"/>
    </row>
    <row r="282" spans="2:15" ht="54" x14ac:dyDescent="0.55000000000000004">
      <c r="B282" s="88">
        <v>277</v>
      </c>
      <c r="C282" s="98" t="str">
        <f t="shared" si="41"/>
        <v>本番移行準備</v>
      </c>
      <c r="D282" s="98" t="str">
        <f t="shared" si="40"/>
        <v>フェーズ終了時</v>
      </c>
      <c r="E282" s="91" t="s">
        <v>377</v>
      </c>
      <c r="F282" s="162" t="s">
        <v>348</v>
      </c>
      <c r="G282" s="93" t="s">
        <v>4</v>
      </c>
      <c r="H282" s="94"/>
      <c r="I282" s="88"/>
      <c r="J282" s="95"/>
      <c r="K282" s="122" t="s">
        <v>64</v>
      </c>
      <c r="L282" s="88"/>
      <c r="M282" s="88"/>
      <c r="N282" s="100"/>
      <c r="O282" s="100"/>
    </row>
    <row r="283" spans="2:15" x14ac:dyDescent="0.55000000000000004">
      <c r="B283" s="88">
        <v>278</v>
      </c>
      <c r="C283" s="98" t="str">
        <f t="shared" si="41"/>
        <v>本番移行準備</v>
      </c>
      <c r="D283" s="98" t="str">
        <f t="shared" si="40"/>
        <v>フェーズ終了時</v>
      </c>
      <c r="E283" s="99" t="str">
        <f>E282</f>
        <v>JOB管理（非機能要件）</v>
      </c>
      <c r="F283" s="162" t="s">
        <v>371</v>
      </c>
      <c r="G283" s="93" t="s">
        <v>4</v>
      </c>
      <c r="H283" s="94"/>
      <c r="I283" s="88"/>
      <c r="J283" s="95"/>
      <c r="K283" s="122" t="s">
        <v>64</v>
      </c>
      <c r="L283" s="88"/>
      <c r="M283" s="88"/>
      <c r="N283" s="100"/>
      <c r="O283" s="100"/>
    </row>
    <row r="284" spans="2:15" ht="54" x14ac:dyDescent="0.55000000000000004">
      <c r="B284" s="88">
        <v>279</v>
      </c>
      <c r="C284" s="98" t="str">
        <f t="shared" si="41"/>
        <v>本番移行準備</v>
      </c>
      <c r="D284" s="98" t="str">
        <f t="shared" si="40"/>
        <v>フェーズ終了時</v>
      </c>
      <c r="E284" s="136" t="s">
        <v>378</v>
      </c>
      <c r="F284" s="95" t="s">
        <v>349</v>
      </c>
      <c r="G284" s="93" t="s">
        <v>4</v>
      </c>
      <c r="H284" s="94"/>
      <c r="I284" s="88"/>
      <c r="J284" s="95"/>
      <c r="K284" s="122" t="s">
        <v>64</v>
      </c>
      <c r="L284" s="88"/>
      <c r="M284" s="88"/>
      <c r="N284" s="100"/>
      <c r="O284" s="100"/>
    </row>
    <row r="285" spans="2:15" x14ac:dyDescent="0.55000000000000004">
      <c r="B285" s="88">
        <v>280</v>
      </c>
      <c r="C285" s="98" t="str">
        <f t="shared" si="41"/>
        <v>本番移行準備</v>
      </c>
      <c r="D285" s="98" t="str">
        <f t="shared" si="40"/>
        <v>フェーズ終了時</v>
      </c>
      <c r="E285" s="136" t="s">
        <v>379</v>
      </c>
      <c r="F285" s="95" t="s">
        <v>350</v>
      </c>
      <c r="G285" s="93" t="s">
        <v>4</v>
      </c>
      <c r="H285" s="94"/>
      <c r="I285" s="88"/>
      <c r="J285" s="95"/>
      <c r="K285" s="122" t="s">
        <v>64</v>
      </c>
      <c r="L285" s="88"/>
      <c r="M285" s="88"/>
      <c r="N285" s="100"/>
      <c r="O285" s="100"/>
    </row>
    <row r="286" spans="2:15" x14ac:dyDescent="0.55000000000000004">
      <c r="B286" s="88">
        <v>281</v>
      </c>
      <c r="C286" s="98" t="str">
        <f t="shared" si="41"/>
        <v>本番移行準備</v>
      </c>
      <c r="D286" s="98" t="str">
        <f t="shared" si="40"/>
        <v>フェーズ終了時</v>
      </c>
      <c r="E286" s="136" t="s">
        <v>380</v>
      </c>
      <c r="F286" s="95" t="s">
        <v>351</v>
      </c>
      <c r="G286" s="93" t="s">
        <v>4</v>
      </c>
      <c r="H286" s="94"/>
      <c r="I286" s="88"/>
      <c r="J286" s="95"/>
      <c r="K286" s="122" t="s">
        <v>64</v>
      </c>
      <c r="L286" s="88"/>
      <c r="M286" s="88"/>
      <c r="N286" s="100"/>
      <c r="O286" s="100"/>
    </row>
    <row r="287" spans="2:15" x14ac:dyDescent="0.55000000000000004">
      <c r="B287" s="88">
        <v>282</v>
      </c>
      <c r="C287" s="98" t="str">
        <f t="shared" si="41"/>
        <v>本番移行準備</v>
      </c>
      <c r="D287" s="98" t="str">
        <f t="shared" si="40"/>
        <v>フェーズ終了時</v>
      </c>
      <c r="E287" s="136" t="s">
        <v>381</v>
      </c>
      <c r="F287" s="95" t="s">
        <v>352</v>
      </c>
      <c r="G287" s="93" t="s">
        <v>4</v>
      </c>
      <c r="H287" s="94"/>
      <c r="I287" s="88"/>
      <c r="J287" s="95"/>
      <c r="K287" s="122" t="s">
        <v>64</v>
      </c>
      <c r="L287" s="88"/>
      <c r="M287" s="88"/>
      <c r="N287" s="100"/>
      <c r="O287" s="100"/>
    </row>
    <row r="288" spans="2:15" x14ac:dyDescent="0.55000000000000004">
      <c r="B288" s="88">
        <v>283</v>
      </c>
      <c r="C288" s="98" t="str">
        <f t="shared" si="41"/>
        <v>本番移行準備</v>
      </c>
      <c r="D288" s="98" t="str">
        <f t="shared" si="40"/>
        <v>フェーズ終了時</v>
      </c>
      <c r="E288" s="130" t="s">
        <v>382</v>
      </c>
      <c r="F288" s="95" t="s">
        <v>353</v>
      </c>
      <c r="G288" s="93" t="s">
        <v>4</v>
      </c>
      <c r="H288" s="94"/>
      <c r="I288" s="88"/>
      <c r="J288" s="95"/>
      <c r="K288" s="122" t="s">
        <v>64</v>
      </c>
      <c r="L288" s="88"/>
      <c r="M288" s="88"/>
      <c r="N288" s="100"/>
      <c r="O288" s="100"/>
    </row>
    <row r="289" spans="2:15" x14ac:dyDescent="0.55000000000000004">
      <c r="B289" s="88">
        <v>284</v>
      </c>
      <c r="C289" s="98" t="str">
        <f t="shared" si="41"/>
        <v>本番移行準備</v>
      </c>
      <c r="D289" s="98" t="str">
        <f t="shared" si="40"/>
        <v>フェーズ終了時</v>
      </c>
      <c r="E289" s="98" t="str">
        <f>E288</f>
        <v>保守ベンダーへの連携（非機能要件）</v>
      </c>
      <c r="F289" s="95" t="s">
        <v>354</v>
      </c>
      <c r="G289" s="93" t="s">
        <v>4</v>
      </c>
      <c r="H289" s="94"/>
      <c r="I289" s="88"/>
      <c r="J289" s="95"/>
      <c r="K289" s="122" t="s">
        <v>64</v>
      </c>
      <c r="L289" s="88"/>
      <c r="M289" s="88"/>
      <c r="N289" s="100"/>
      <c r="O289" s="100"/>
    </row>
    <row r="290" spans="2:15" x14ac:dyDescent="0.55000000000000004">
      <c r="B290" s="88">
        <v>285</v>
      </c>
      <c r="C290" s="98" t="str">
        <f t="shared" si="41"/>
        <v>本番移行準備</v>
      </c>
      <c r="D290" s="98" t="str">
        <f t="shared" si="40"/>
        <v>フェーズ終了時</v>
      </c>
      <c r="E290" s="91" t="s">
        <v>383</v>
      </c>
      <c r="F290" s="95" t="s">
        <v>355</v>
      </c>
      <c r="G290" s="93" t="s">
        <v>4</v>
      </c>
      <c r="H290" s="94"/>
      <c r="I290" s="88"/>
      <c r="J290" s="95"/>
      <c r="K290" s="122" t="s">
        <v>64</v>
      </c>
      <c r="L290" s="88"/>
      <c r="M290" s="88"/>
      <c r="N290" s="100"/>
      <c r="O290" s="100"/>
    </row>
    <row r="291" spans="2:15" x14ac:dyDescent="0.55000000000000004">
      <c r="B291" s="88">
        <v>286</v>
      </c>
      <c r="C291" s="98" t="str">
        <f t="shared" si="41"/>
        <v>本番移行準備</v>
      </c>
      <c r="D291" s="98" t="str">
        <f t="shared" si="40"/>
        <v>フェーズ終了時</v>
      </c>
      <c r="E291" s="134" t="str">
        <f>E290</f>
        <v>ログ（非機能要件）</v>
      </c>
      <c r="F291" s="95" t="s">
        <v>356</v>
      </c>
      <c r="G291" s="93" t="s">
        <v>4</v>
      </c>
      <c r="H291" s="94"/>
      <c r="I291" s="88"/>
      <c r="J291" s="95"/>
      <c r="K291" s="122" t="s">
        <v>64</v>
      </c>
      <c r="L291" s="88"/>
      <c r="M291" s="88"/>
      <c r="N291" s="100"/>
      <c r="O291" s="100"/>
    </row>
    <row r="292" spans="2:15" x14ac:dyDescent="0.55000000000000004">
      <c r="B292" s="88">
        <v>287</v>
      </c>
      <c r="C292" s="98" t="str">
        <f t="shared" si="41"/>
        <v>本番移行準備</v>
      </c>
      <c r="D292" s="98" t="str">
        <f t="shared" si="40"/>
        <v>フェーズ終了時</v>
      </c>
      <c r="E292" s="135" t="str">
        <f>E291</f>
        <v>ログ（非機能要件）</v>
      </c>
      <c r="F292" s="95" t="s">
        <v>357</v>
      </c>
      <c r="G292" s="93" t="s">
        <v>4</v>
      </c>
      <c r="H292" s="94"/>
      <c r="I292" s="88"/>
      <c r="J292" s="95"/>
      <c r="K292" s="122" t="s">
        <v>64</v>
      </c>
      <c r="L292" s="88"/>
      <c r="M292" s="88"/>
      <c r="N292" s="100"/>
      <c r="O292" s="100"/>
    </row>
    <row r="293" spans="2:15" ht="130" customHeight="1" x14ac:dyDescent="0.55000000000000004">
      <c r="B293" s="88">
        <v>288</v>
      </c>
      <c r="C293" s="98" t="str">
        <f t="shared" si="41"/>
        <v>本番移行準備</v>
      </c>
      <c r="D293" s="98" t="str">
        <f t="shared" si="40"/>
        <v>フェーズ終了時</v>
      </c>
      <c r="E293" s="91" t="s">
        <v>384</v>
      </c>
      <c r="F293" s="95" t="s">
        <v>358</v>
      </c>
      <c r="G293" s="93" t="s">
        <v>4</v>
      </c>
      <c r="H293" s="94"/>
      <c r="I293" s="88"/>
      <c r="J293" s="95"/>
      <c r="K293" s="122" t="s">
        <v>64</v>
      </c>
      <c r="L293" s="88"/>
      <c r="M293" s="88"/>
      <c r="N293" s="100"/>
      <c r="O293" s="100"/>
    </row>
    <row r="294" spans="2:15" x14ac:dyDescent="0.55000000000000004">
      <c r="B294" s="88">
        <v>289</v>
      </c>
      <c r="C294" s="98" t="str">
        <f t="shared" si="41"/>
        <v>本番移行準備</v>
      </c>
      <c r="D294" s="98" t="str">
        <f t="shared" si="40"/>
        <v>フェーズ終了時</v>
      </c>
      <c r="E294" s="134" t="str">
        <f>E293</f>
        <v>バックアップ（非機能要件）</v>
      </c>
      <c r="F294" s="95" t="s">
        <v>359</v>
      </c>
      <c r="G294" s="93" t="s">
        <v>4</v>
      </c>
      <c r="H294" s="94"/>
      <c r="I294" s="88"/>
      <c r="J294" s="95"/>
      <c r="K294" s="122" t="s">
        <v>64</v>
      </c>
      <c r="L294" s="88"/>
      <c r="M294" s="88"/>
      <c r="N294" s="100"/>
      <c r="O294" s="100"/>
    </row>
    <row r="295" spans="2:15" x14ac:dyDescent="0.55000000000000004">
      <c r="B295" s="88">
        <v>290</v>
      </c>
      <c r="C295" s="99" t="str">
        <f t="shared" si="41"/>
        <v>本番移行準備</v>
      </c>
      <c r="D295" s="99" t="str">
        <f t="shared" si="40"/>
        <v>フェーズ終了時</v>
      </c>
      <c r="E295" s="135" t="str">
        <f>E294</f>
        <v>バックアップ（非機能要件）</v>
      </c>
      <c r="F295" s="95" t="s">
        <v>360</v>
      </c>
      <c r="G295" s="93" t="s">
        <v>4</v>
      </c>
      <c r="H295" s="94"/>
      <c r="I295" s="88"/>
      <c r="J295" s="95"/>
      <c r="K295" s="122" t="s">
        <v>64</v>
      </c>
      <c r="L295" s="88"/>
      <c r="M295" s="88"/>
      <c r="N295" s="100"/>
      <c r="O295" s="100"/>
    </row>
    <row r="296" spans="2:15" ht="54" x14ac:dyDescent="0.55000000000000004">
      <c r="B296" s="88">
        <v>291</v>
      </c>
      <c r="C296" s="91" t="s">
        <v>155</v>
      </c>
      <c r="D296" s="91" t="s">
        <v>155</v>
      </c>
      <c r="E296" s="161" t="s">
        <v>165</v>
      </c>
      <c r="F296" s="95" t="s">
        <v>164</v>
      </c>
      <c r="G296" s="93" t="s">
        <v>4</v>
      </c>
      <c r="H296" s="94"/>
      <c r="I296" s="88"/>
      <c r="J296" s="95"/>
      <c r="K296" s="122" t="s">
        <v>64</v>
      </c>
      <c r="L296" s="88"/>
      <c r="M296" s="88"/>
      <c r="N296" s="100"/>
      <c r="O296" s="100"/>
    </row>
    <row r="297" spans="2:15" ht="36" x14ac:dyDescent="0.55000000000000004">
      <c r="B297" s="88">
        <v>292</v>
      </c>
      <c r="C297" s="98" t="str">
        <f t="shared" ref="C297:D301" si="42">C296</f>
        <v>案件終了時</v>
      </c>
      <c r="D297" s="98" t="str">
        <f t="shared" si="42"/>
        <v>案件終了時</v>
      </c>
      <c r="E297" s="161" t="s">
        <v>156</v>
      </c>
      <c r="F297" s="95" t="s">
        <v>157</v>
      </c>
      <c r="G297" s="93" t="s">
        <v>4</v>
      </c>
      <c r="H297" s="94"/>
      <c r="I297" s="88"/>
      <c r="J297" s="95"/>
      <c r="K297" s="122" t="s">
        <v>64</v>
      </c>
      <c r="L297" s="88"/>
      <c r="M297" s="88"/>
      <c r="N297" s="100"/>
      <c r="O297" s="100"/>
    </row>
    <row r="298" spans="2:15" ht="36" x14ac:dyDescent="0.55000000000000004">
      <c r="B298" s="88">
        <v>293</v>
      </c>
      <c r="C298" s="98" t="str">
        <f t="shared" si="42"/>
        <v>案件終了時</v>
      </c>
      <c r="D298" s="98" t="str">
        <f t="shared" si="42"/>
        <v>案件終了時</v>
      </c>
      <c r="E298" s="161" t="s">
        <v>158</v>
      </c>
      <c r="F298" s="95" t="s">
        <v>159</v>
      </c>
      <c r="G298" s="93" t="s">
        <v>4</v>
      </c>
      <c r="H298" s="94"/>
      <c r="I298" s="88"/>
      <c r="J298" s="95"/>
      <c r="K298" s="122" t="s">
        <v>64</v>
      </c>
      <c r="L298" s="88"/>
      <c r="M298" s="88"/>
      <c r="N298" s="100"/>
      <c r="O298" s="100"/>
    </row>
    <row r="299" spans="2:15" ht="36" x14ac:dyDescent="0.55000000000000004">
      <c r="B299" s="88">
        <v>294</v>
      </c>
      <c r="C299" s="98" t="str">
        <f t="shared" si="42"/>
        <v>案件終了時</v>
      </c>
      <c r="D299" s="98" t="str">
        <f t="shared" si="42"/>
        <v>案件終了時</v>
      </c>
      <c r="E299" s="161" t="s">
        <v>160</v>
      </c>
      <c r="F299" s="95" t="s">
        <v>161</v>
      </c>
      <c r="G299" s="93" t="s">
        <v>4</v>
      </c>
      <c r="H299" s="94"/>
      <c r="I299" s="88"/>
      <c r="J299" s="95"/>
      <c r="K299" s="122" t="s">
        <v>64</v>
      </c>
      <c r="L299" s="88"/>
      <c r="M299" s="88"/>
      <c r="N299" s="100"/>
      <c r="O299" s="100"/>
    </row>
    <row r="300" spans="2:15" ht="36" x14ac:dyDescent="0.55000000000000004">
      <c r="B300" s="88">
        <v>295</v>
      </c>
      <c r="C300" s="98" t="str">
        <f t="shared" si="42"/>
        <v>案件終了時</v>
      </c>
      <c r="D300" s="98" t="str">
        <f t="shared" si="42"/>
        <v>案件終了時</v>
      </c>
      <c r="E300" s="161" t="s">
        <v>234</v>
      </c>
      <c r="F300" s="95" t="s">
        <v>235</v>
      </c>
      <c r="G300" s="93" t="s">
        <v>4</v>
      </c>
      <c r="H300" s="94"/>
      <c r="I300" s="88"/>
      <c r="J300" s="95"/>
      <c r="K300" s="122" t="s">
        <v>64</v>
      </c>
      <c r="L300" s="88"/>
      <c r="M300" s="88"/>
      <c r="N300" s="100"/>
      <c r="O300" s="100"/>
    </row>
    <row r="301" spans="2:15" ht="90" x14ac:dyDescent="0.55000000000000004">
      <c r="B301" s="88">
        <v>296</v>
      </c>
      <c r="C301" s="99" t="str">
        <f t="shared" si="42"/>
        <v>案件終了時</v>
      </c>
      <c r="D301" s="99" t="str">
        <f t="shared" si="42"/>
        <v>案件終了時</v>
      </c>
      <c r="E301" s="161" t="s">
        <v>335</v>
      </c>
      <c r="F301" s="95" t="s">
        <v>336</v>
      </c>
      <c r="G301" s="93" t="s">
        <v>4</v>
      </c>
      <c r="H301" s="94"/>
      <c r="I301" s="88"/>
      <c r="J301" s="95"/>
      <c r="K301" s="122" t="s">
        <v>64</v>
      </c>
      <c r="L301" s="88"/>
      <c r="M301" s="88"/>
      <c r="N301" s="100"/>
      <c r="O301" s="100"/>
    </row>
  </sheetData>
  <autoFilter ref="A5:M302" xr:uid="{09609810-5E7E-4971-84AE-52BCFEAE2DD9}"/>
  <mergeCells count="2">
    <mergeCell ref="G3:J3"/>
    <mergeCell ref="K3:M3"/>
  </mergeCells>
  <phoneticPr fontId="1"/>
  <pageMargins left="0.25" right="0.25" top="0.75" bottom="0.75" header="0.3" footer="0.3"/>
  <pageSetup paperSize="8" scale="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表紙</vt:lpstr>
      <vt:lpstr>改版履歴</vt:lpstr>
      <vt:lpstr>定義・役割</vt:lpstr>
      <vt:lpstr>チェックシート</vt:lpstr>
      <vt:lpstr>チェックシート!Print_Area</vt:lpstr>
      <vt:lpstr>改版履歴!Print_Area</vt:lpstr>
      <vt:lpstr>表紙!Print_Area</vt:lpstr>
      <vt:lpstr>チェックシート!Print_Titles</vt:lpstr>
      <vt:lpstr>改版履歴!Print_Titles</vt:lpstr>
      <vt:lpstr>表紙!Print_Titles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shagiya</dc:creator>
  <cp:lastModifiedBy>吉野 聖渚</cp:lastModifiedBy>
  <cp:lastPrinted>2021-10-19T07:24:12Z</cp:lastPrinted>
  <dcterms:created xsi:type="dcterms:W3CDTF">2021-09-24T05:00:11Z</dcterms:created>
  <dcterms:modified xsi:type="dcterms:W3CDTF">2026-01-29T01:51:49Z</dcterms:modified>
</cp:coreProperties>
</file>